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jigne\Downloads\4-hour-course-xl-files\"/>
    </mc:Choice>
  </mc:AlternateContent>
  <xr:revisionPtr revIDLastSave="0" documentId="13_ncr:1_{83DF19B9-DD3C-4EA7-84B0-9A8F5D20F6AB}" xr6:coauthVersionLast="47" xr6:coauthVersionMax="47" xr10:uidLastSave="{00000000-0000-0000-0000-000000000000}"/>
  <bookViews>
    <workbookView xWindow="-108" yWindow="-108" windowWidth="23256" windowHeight="12456" activeTab="2" xr2:uid="{26D4546B-D2A1-4444-8EAF-A6228F96F0C1}"/>
  </bookViews>
  <sheets>
    <sheet name="pivot" sheetId="5" r:id="rId1"/>
    <sheet name="Data" sheetId="2" r:id="rId2"/>
    <sheet name="Customer Center Report" sheetId="6" r:id="rId3"/>
    <sheet name="Assets" sheetId="4"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8" r:id="rId8"/>
    <pivotCache cacheId="57" r:id="rId9"/>
    <pivotCache cacheId="60" r:id="rId10"/>
    <pivotCache cacheId="63" r:id="rId11"/>
    <pivotCache cacheId="66" r:id="rId12"/>
    <pivotCache cacheId="6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1" i="6" l="1" a="1"/>
  <c r="Q21" i="6" s="1"/>
  <c r="P22" i="6" a="1"/>
  <c r="P22" i="6" s="1"/>
  <c r="J56" i="5"/>
  <c r="M33" i="6" s="1"/>
  <c r="J47" i="5"/>
  <c r="J50" i="5" s="1"/>
  <c r="J54" i="5" s="1"/>
  <c r="M39" i="6" s="1"/>
  <c r="J46" i="5"/>
  <c r="J49" i="5" s="1"/>
  <c r="J53" i="5" s="1"/>
  <c r="M38" i="6" s="1"/>
  <c r="J44" i="5"/>
  <c r="J52" i="5" s="1"/>
  <c r="M37" i="6" s="1"/>
  <c r="I39" i="5"/>
  <c r="L20" i="5"/>
  <c r="J23" i="5"/>
  <c r="J24" i="5"/>
  <c r="J25" i="5"/>
  <c r="J26" i="5"/>
  <c r="H22" i="5"/>
  <c r="I22" i="5"/>
  <c r="J22" i="5"/>
  <c r="I23" i="5"/>
  <c r="I24" i="5"/>
  <c r="I25" i="5"/>
  <c r="I26" i="5"/>
  <c r="H23" i="5"/>
  <c r="H24" i="5"/>
  <c r="H25" i="5"/>
  <c r="H26" i="5"/>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L23" i="5" l="1"/>
  <c r="L22" i="5"/>
  <c r="K25" i="5"/>
  <c r="K24" i="5"/>
  <c r="K23" i="5"/>
  <c r="L26" i="5"/>
  <c r="L25" i="5"/>
  <c r="K22" i="5"/>
  <c r="L24" i="5"/>
  <c r="K2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19105A-AB30-47A8-98EA-CCC8BE3B275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174C855-5334-4AC2-8CA0-95B7C6EFB868}"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4AEDD67F-B797-4353-9B58-460E740AB06A}"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<sst xmlns="http://schemas.openxmlformats.org/spreadsheetml/2006/main" count="3171" uniqueCount="1086">
  <si>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</si>
  <si>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</si>
  <si>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</si>
  <si>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</si>
  <si>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</si>
  <si>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</si>
  <si>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</si>
  <si>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</si>
  <si>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</si>
  <si>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</si>
  <si>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</si>
  <si>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</si>
  <si>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</si>
  <si>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</si>
  <si>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</si>
  <si>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</si>
  <si>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</si>
  <si>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</si>
  <si>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</si>
  <si>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</si>
  <si>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</si>
  <si>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</si>
  <si>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</si>
  <si>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</si>
  <si>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</si>
  <si>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</si>
  <si>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</si>
  <si>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</si>
  <si>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</si>
  <si>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</si>
  <si>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</si>
  <si>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</si>
  <si>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</si>
  <si>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</si>
  <si>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</si>
  <si>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</si>
  <si>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</si>
  <si>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</si>
  <si>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</si>
  <si>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</si>
  <si>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</si>
  <si>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</si>
  <si>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</si>
  <si>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</si>
  <si>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</si>
  <si>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</si>
  <si>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</si>
  <si>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</si>
  <si>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</si>
  <si>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</si>
  <si>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</si>
  <si>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</si>
  <si>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</si>
  <si>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</si>
  <si>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</si>
  <si>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</si>
  <si>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</si>
  <si>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</si>
  <si>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</si>
  <si>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</si>
  <si>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</si>
  <si>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</si>
  <si>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</si>
  <si>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</si>
  <si>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</si>
  <si>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</si>
  <si>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</si>
  <si>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</si>
  <si>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</si>
  <si>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</si>
  <si>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</si>
  <si>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</si>
  <si>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</si>
  <si>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</si>
  <si>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</si>
  <si>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</si>
  <si>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</si>
  <si>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</si>
  <si>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</si>
  <si>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</si>
  <si>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</si>
  <si>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</si>
  <si>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</si>
  <si>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</si>
  <si>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</si>
  <si>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</si>
  <si>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</si>
  <si>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</si>
  <si>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</si>
  <si>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</si>
  <si>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</si>
  <si>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</si>
  <si>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</si>
  <si>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</si>
  <si>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</si>
  <si>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</si>
  <si>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</si>
  <si>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</si>
  <si>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</si>
  <si>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</si>
  <si>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</si>
  <si>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</si>
  <si>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</si>
  <si>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</si>
  <si>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</si>
  <si>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</si>
  <si>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</si>
  <si>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</si>
  <si>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</si>
  <si>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</si>
  <si>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</si>
  <si>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</si>
  <si>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</si>
  <si>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</si>
  <si>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</si>
  <si>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</si>
  <si>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</si>
  <si>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</si>
  <si>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</si>
  <si>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</si>
  <si>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</si>
  <si>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</si>
  <si>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</si>
  <si>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</si>
  <si>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</si>
  <si>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</si>
  <si>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</si>
  <si>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</si>
  <si>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</si>
  <si>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</si>
  <si>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</si>
  <si>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</si>
  <si>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</si>
  <si>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</si>
  <si>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</si>
  <si>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</si>
  <si>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</si>
  <si>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</si>
  <si>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</si>
  <si>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</si>
  <si>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</si>
  <si>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</si>
  <si>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</si>
  <si>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</si>
  <si>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</si>
  <si>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</si>
  <si>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</si>
  <si>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</si>
  <si>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</si>
  <si>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</si>
  <si>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</si>
  <si>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</si>
  <si>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</si>
  <si>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</si>
  <si>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</si>
  <si>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</si>
  <si>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</si>
  <si>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</si>
  <si>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</si>
  <si>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</si>
  <si>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</si>
  <si>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</si>
  <si>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</si>
  <si>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</si>
  <si>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</si>
  <si>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</si>
  <si>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</si>
  <si>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</si>
  <si>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</si>
  <si>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</si>
  <si>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</si>
  <si>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</si>
  <si>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</si>
  <si>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</si>
  <si>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</si>
  <si>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</si>
  <si>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</si>
  <si>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</si>
  <si>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</si>
  <si>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</si>
  <si>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</si>
  <si>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</si>
  <si>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</si>
  <si>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</si>
  <si>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</si>
  <si>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</si>
  <si>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</si>
  <si>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</si>
  <si>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</si>
  <si>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</si>
  <si>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</si>
  <si>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</si>
  <si>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</si>
  <si>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</si>
  <si>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</si>
  <si>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</si>
  <si>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</si>
  <si>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</si>
  <si>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</si>
  <si>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</si>
  <si>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</si>
  <si>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</si>
  <si>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</si>
  <si>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</si>
  <si>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</si>
  <si>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</si>
  <si>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</si>
  <si>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</si>
  <si>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</si>
  <si>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</si>
  <si>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</si>
  <si>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</si>
  <si>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</si>
  <si>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</si>
  <si>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</si>
  <si>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</si>
  <si>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</si>
  <si>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</si>
  <si>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</si>
  <si>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</si>
  <si>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</si>
  <si>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</si>
  <si>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</si>
  <si>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</si>
  <si>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</si>
  <si>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</si>
  <si>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</si>
  <si>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</si>
  <si>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</si>
  <si>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</si>
  <si>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</si>
  <si>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</si>
  <si>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</si>
  <si>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</si>
  <si>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</si>
  <si>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</si>
  <si>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</si>
  <si>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</si>
  <si>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</si>
  <si>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</si>
  <si>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</si>
  <si>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</si>
  <si>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</si>
  <si>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</si>
  <si>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</si>
  <si>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</si>
  <si>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</si>
  <si>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</si>
  <si>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</si>
  <si>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</si>
  <si>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</si>
  <si>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</si>
  <si>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</si>
  <si>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</si>
  <si>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</si>
  <si>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</si>
  <si>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</si>
  <si>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</si>
  <si>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</si>
  <si>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</si>
  <si>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</si>
  <si>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</si>
  <si>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</si>
  <si>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</si>
  <si>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</si>
  <si>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</si>
  <si>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</si>
  <si>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</si>
  <si>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</si>
  <si>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</si>
  <si>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</si>
  <si>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</si>
  <si>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</si>
  <si>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</si>
  <si>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</si>
  <si>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</si>
  <si>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</si>
  <si>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</si>
  <si>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</si>
  <si>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</si>
  <si>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</si>
  <si>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</si>
  <si>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</si>
  <si>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</si>
  <si>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</si>
  <si>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</si>
  <si>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</si>
  <si>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</si>
  <si>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</si>
  <si>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</si>
  <si>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</si>
  <si>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</si>
  <si>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</si>
  <si>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</si>
  <si>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</si>
  <si>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</si>
  <si>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</si>
  <si>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</si>
  <si>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</si>
  <si>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</si>
  <si>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</si>
  <si>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</si>
  <si>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</si>
  <si>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</si>
  <si>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</si>
  <si>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</si>
  <si>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</si>
  <si>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</si>
  <si>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</si>
  <si>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</si>
  <si>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</si>
  <si>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</si>
  <si>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</si>
  <si>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</si>
  <si>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</si>
  <si>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</si>
  <si>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</si>
  <si>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</si>
  <si>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</si>
  <si>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</si>
  <si>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</si>
  <si>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</si>
  <si>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</si>
  <si>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</si>
  <si>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</si>
  <si>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</si>
  <si>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</si>
  <si>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</si>
  <si>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</si>
  <si>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</si>
  <si>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</si>
  <si>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</si>
  <si>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</si>
  <si>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</si>
  <si>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</si>
  <si>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</si>
  <si>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</si>
  <si>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</si>
  <si>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</si>
  <si>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</si>
  <si>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</si>
  <si>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</si>
  <si>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</si>
  <si>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</si>
  <si>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</si>
  <si>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</si>
  <si>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</si>
  <si>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</si>
  <si>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</si>
  <si>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</si>
  <si>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</si>
  <si>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</si>
  <si>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</si>
  <si>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</si>
  <si>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</si>
  <si>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</si>
  <si>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</si>
  <si>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</si>
  <si>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</si>
  <si>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</si>
  <si>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</si>
  <si>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</si>
  <si>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</si>
  <si>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</si>
  <si>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</si>
  <si>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</si>
  <si>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</si>
  <si>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</si>
  <si>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</si>
  <si>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</si>
  <si>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</si>
  <si>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</si>
  <si>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</si>
  <si>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</si>
  <si>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</si>
  <si>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</si>
  <si>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</si>
  <si>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</si>
  <si>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</si>
  <si>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</si>
  <si>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</si>
  <si>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</si>
  <si>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</si>
  <si>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</si>
  <si>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</si>
  <si>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</si>
  <si>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</si>
  <si>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</si>
  <si>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</si>
  <si>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</si>
  <si>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</si>
  <si>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</si>
  <si>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</si>
  <si>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</si>
  <si>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</si>
  <si>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</si>
  <si>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</si>
  <si>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</si>
  <si>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</si>
  <si>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</si>
  <si>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</si>
  <si>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</si>
  <si>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</si>
  <si>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</si>
  <si>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</si>
  <si>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</si>
  <si>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</si>
  <si>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</si>
  <si>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</si>
  <si>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</si>
  <si>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</si>
  <si>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</si>
  <si>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</si>
  <si>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</si>
  <si>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</si>
  <si>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</si>
  <si>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</si>
  <si>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</si>
  <si>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</si>
  <si>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</si>
  <si>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</si>
  <si>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</si>
  <si>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</si>
  <si>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</si>
  <si>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</si>
  <si>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</si>
  <si>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</si>
  <si>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</si>
  <si>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</si>
  <si>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</si>
  <si>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</si>
  <si>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</si>
  <si>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</si>
  <si>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</si>
  <si>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</si>
  <si>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</si>
  <si>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</si>
  <si>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</si>
  <si>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</si>
  <si>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</si>
  <si>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</si>
  <si>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</si>
  <si>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</si>
  <si>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</si>
  <si>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</si>
  <si>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</si>
  <si>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</si>
  <si>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</si>
  <si>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</si>
  <si>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</si>
  <si>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</si>
  <si>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</si>
  <si>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</si>
  <si>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</si>
  <si>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</si>
  <si>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</si>
  <si>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</si>
  <si>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</si>
  <si>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</si>
  <si>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</si>
  <si>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</si>
  <si>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</si>
  <si>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</si>
  <si>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</si>
  <si>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</si>
  <si>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</si>
  <si>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</si>
  <si>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</si>
  <si>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</si>
  <si>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</si>
  <si>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</si>
  <si>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</si>
  <si>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</si>
  <si>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</si>
  <si>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</si>
  <si>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</si>
  <si>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</si>
  <si>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</si>
  <si>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</si>
  <si>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</si>
  <si>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</si>
  <si>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</si>
  <si>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</si>
  <si>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</si>
  <si>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</si>
  <si>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</si>
  <si>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</si>
  <si>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</si>
  <si>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</si>
  <si>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</si>
  <si>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</si>
  <si>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</si>
  <si>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</si>
  <si>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</si>
  <si>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</si>
  <si>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</si>
  <si>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</si>
  <si>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</si>
  <si>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</si>
  <si>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</si>
  <si>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</si>
  <si>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</si>
  <si>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</si>
  <si>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</si>
  <si>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</si>
  <si>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</si>
  <si>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</si>
  <si>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</si>
  <si>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</si>
  <si>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</si>
  <si>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</si>
  <si>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</si>
  <si>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</si>
  <si>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</si>
  <si>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</si>
  <si>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</si>
  <si>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</si>
  <si>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</si>
  <si>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</si>
  <si>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</si>
  <si>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</si>
  <si>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</si>
  <si>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</si>
  <si>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</si>
  <si>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</si>
  <si>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</si>
  <si>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</si>
  <si>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</si>
  <si>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</si>
  <si>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</si>
  <si>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</si>
  <si>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</si>
  <si>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</si>
  <si>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</si>
  <si>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</si>
  <si>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</si>
  <si>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</si>
  <si>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</si>
  <si>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</si>
  <si>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</si>
  <si>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</si>
  <si>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</si>
  <si>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</si>
  <si>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</si>
  <si>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</si>
  <si>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</si>
  <si>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</si>
  <si>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</si>
  <si>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</si>
  <si>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</si>
  <si>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</si>
  <si>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</si>
  <si>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</si>
  <si>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</si>
  <si>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</si>
  <si>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</si>
  <si>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</si>
  <si>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</si>
  <si>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</si>
  <si>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</si>
  <si>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</si>
  <si>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</si>
  <si>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</si>
  <si>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</si>
  <si>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</si>
  <si>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</si>
  <si>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</si>
  <si>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</si>
  <si>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</si>
  <si>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</si>
  <si>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</si>
  <si>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</si>
  <si>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</si>
  <si>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</si>
  <si>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</si>
  <si>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</si>
  <si>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</si>
  <si>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</si>
  <si>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</si>
  <si>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</si>
  <si>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</si>
  <si>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</si>
  <si>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</si>
  <si>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</si>
  <si>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</si>
  <si>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</si>
  <si>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</si>
  <si>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</si>
  <si>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</si>
  <si>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</si>
  <si>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</si>
  <si>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</si>
  <si>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</si>
  <si>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</si>
  <si>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</si>
  <si>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</si>
  <si>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</si>
  <si>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</si>
  <si>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</si>
  <si>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</si>
  <si>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</si>
  <si>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</si>
  <si>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</si>
  <si>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</si>
  <si>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</si>
  <si>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</si>
  <si>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</si>
  <si>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</si>
  <si>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</si>
  <si>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</si>
  <si>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</si>
  <si>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</si>
  <si>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</si>
  <si>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</si>
  <si>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</si>
  <si>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</si>
  <si>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</si>
  <si>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</si>
  <si>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</si>
  <si>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</si>
  <si>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</si>
  <si>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</si>
  <si>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</si>
  <si>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</si>
  <si>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</si>
  <si>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</si>
  <si>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</si>
  <si>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</si>
  <si>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</si>
  <si>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</si>
  <si>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</si>
  <si>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</si>
  <si>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</si>
  <si>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</si>
  <si>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</si>
  <si>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</si>
  <si>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</si>
  <si>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</si>
  <si>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</si>
  <si>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</si>
  <si>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</si>
  <si>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</si>
  <si>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</si>
  <si>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</si>
  <si>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</si>
  <si>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</si>
  <si>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</si>
  <si>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</si>
  <si>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</si>
  <si>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</si>
  <si>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</si>
  <si>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</si>
  <si>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</si>
  <si>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</si>
  <si>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</si>
  <si>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</si>
  <si>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</si>
  <si>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</si>
  <si>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</si>
  <si>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</si>
  <si>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</si>
  <si>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</si>
  <si>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</si>
  <si>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</si>
  <si>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</si>
  <si>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</si>
  <si>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</si>
  <si>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</si>
  <si>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</si>
  <si>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</si>
  <si>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</si>
  <si>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</si>
  <si>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</si>
  <si>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</si>
  <si>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</si>
  <si>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</si>
  <si>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</si>
  <si>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</si>
  <si>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</si>
  <si>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</si>
  <si>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</si>
  <si>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</si>
  <si>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</si>
  <si>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</si>
  <si>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</si>
  <si>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</si>
  <si>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</si>
  <si>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</si>
  <si>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</si>
  <si>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</si>
  <si>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</si>
  <si>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</si>
  <si>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</si>
  <si>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</si>
  <si>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</si>
  <si>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</si>
  <si>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</si>
  <si>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</si>
  <si>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</si>
  <si>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</si>
  <si>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</si>
  <si>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</si>
  <si>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</si>
  <si>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</si>
  <si>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</si>
  <si>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</si>
  <si>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</si>
  <si>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</si>
  <si>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</si>
  <si>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</si>
  <si>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</si>
  <si>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</si>
  <si>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</si>
  <si>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</si>
  <si>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</si>
  <si>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</si>
  <si>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</si>
  <si>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</si>
  <si>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</si>
  <si>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</si>
  <si>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</si>
  <si>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</si>
  <si>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</si>
  <si>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</si>
  <si>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</si>
  <si>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</si>
  <si>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</si>
  <si>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</si>
  <si>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</si>
  <si>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</si>
  <si>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</si>
  <si>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</si>
  <si>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</si>
  <si>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</si>
  <si>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</si>
  <si>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</si>
  <si>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</si>
  <si>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</si>
  <si>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</si>
  <si>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</si>
  <si>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</si>
  <si>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</si>
  <si>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</si>
  <si>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</si>
  <si>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</si>
  <si>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</si>
  <si>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</si>
  <si>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</si>
  <si>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</si>
  <si>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</si>
  <si>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</si>
  <si>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</si>
  <si>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</si>
  <si>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</si>
  <si>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</si>
  <si>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</si>
  <si>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</si>
  <si>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</si>
  <si>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</si>
  <si>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</si>
  <si>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</si>
  <si>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</si>
  <si>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</si>
  <si>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</si>
  <si>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</si>
  <si>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</si>
  <si>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</si>
  <si>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</si>
  <si>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</si>
  <si>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</si>
  <si>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</si>
  <si>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</si>
  <si>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</si>
  <si>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</si>
  <si>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</si>
  <si>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</si>
  <si>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</si>
  <si>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</si>
  <si>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</si>
  <si>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</si>
  <si>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</si>
  <si>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</si>
  <si>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</si>
  <si>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</si>
  <si>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</si>
  <si>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</si>
  <si>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</si>
  <si>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</si>
  <si>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</si>
  <si>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</si>
  <si>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</si>
  <si>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</si>
  <si>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</si>
  <si>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</si>
  <si>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</si>
  <si>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</si>
  <si>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</si>
  <si>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</si>
  <si>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</si>
  <si>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</si>
  <si>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</si>
  <si>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</si>
  <si>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</si>
  <si>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</si>
  <si>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</si>
  <si>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</si>
  <si>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</si>
  <si>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</si>
  <si>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</si>
  <si>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</si>
  <si>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</si>
  <si>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</si>
  <si>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</si>
  <si>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</si>
  <si>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</si>
  <si>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</si>
  <si>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</si>
  <si>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</si>
  <si>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</si>
  <si>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</si>
  <si>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</si>
  <si>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</si>
  <si>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</si>
  <si>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</si>
  <si>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</si>
  <si>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</si>
  <si>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</si>
  <si>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</si>
  <si>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</si>
  <si>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</si>
  <si>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</si>
  <si>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</si>
  <si>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</si>
  <si>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</si>
  <si>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</si>
  <si>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</si>
  <si>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</si>
  <si>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</si>
  <si>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</si>
  <si>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</si>
  <si>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</si>
  <si>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</si>
  <si>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</si>
  <si>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</si>
  <si>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</si>
  <si>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</si>
  <si>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</si>
  <si>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</si>
  <si>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</si>
  <si>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</si>
  <si>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</si>
  <si>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</si>
  <si>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</si>
  <si>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</si>
  <si>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</si>
  <si>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</si>
  <si>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</si>
  <si>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</si>
  <si>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</si>
  <si>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</si>
  <si>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</si>
  <si>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</si>
  <si>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</si>
  <si>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</si>
  <si>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</si>
  <si>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</si>
  <si>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</si>
  <si>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</si>
  <si>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</si>
  <si>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</si>
  <si>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</si>
  <si>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</si>
  <si>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</si>
  <si>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</si>
  <si>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</si>
  <si>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</si>
  <si>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</si>
  <si>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</si>
  <si>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</si>
  <si>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</si>
  <si>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</si>
  <si>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</si>
  <si>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</si>
  <si>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</si>
  <si>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</si>
  <si>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</si>
  <si>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</si>
  <si>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</si>
  <si>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</si>
  <si>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</si>
  <si>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</si>
  <si>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</si>
  <si>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</si>
  <si>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</si>
  <si>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</si>
  <si>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</si>
  <si>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</si>
  <si>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</si>
  <si>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</si>
  <si>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</si>
  <si>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</si>
  <si>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</si>
  <si>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</si>
  <si>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</si>
  <si>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</si>
  <si>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</si>
  <si>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</si>
  <si>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</si>
  <si>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</si>
  <si>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</si>
  <si>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</si>
  <si>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</si>
  <si>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</si>
  <si>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</si>
  <si>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</si>
  <si>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</si>
  <si>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</si>
  <si>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</si>
  <si>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</si>
  <si>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</si>
  <si>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</si>
  <si>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</si>
  <si>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</si>
  <si>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</si>
  <si>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</si>
  <si>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</si>
  <si>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</si>
  <si>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</si>
  <si>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</si>
  <si>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</si>
  <si>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</si>
  <si>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</si>
  <si>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</si>
  <si>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</si>
  <si>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</si>
  <si>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</si>
  <si>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</si>
  <si>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</si>
  <si>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</si>
  <si>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</si>
  <si>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</si>
  <si>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</si>
  <si>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</si>
  <si>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</si>
  <si>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</si>
  <si>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</si>
  <si>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</si>
  <si>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</si>
  <si>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</si>
  <si>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</si>
  <si>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</si>
  <si>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</si>
  <si>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</si>
  <si>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</si>
  <si>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</si>
  <si>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</si>
  <si>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</si>
  <si>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</si>
  <si>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</si>
  <si>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</si>
  <si>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</si>
  <si>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</si>
  <si>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</si>
  <si>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</si>
  <si>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</si>
  <si>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</si>
  <si>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</si>
  <si>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</si>
  <si>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</si>
  <si>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</si>
  <si>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</si>
  <si>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</si>
  <si>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</si>
  <si>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</si>
  <si>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</si>
  <si>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</si>
  <si>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</si>
  <si>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</si>
  <si>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</si>
  <si>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</si>
  <si>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</si>
  <si>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</si>
  <si>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</si>
  <si>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</si>
  <si>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</si>
  <si>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</si>
  <si>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</si>
  <si>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</si>
  <si>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</si>
  <si>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</si>
  <si>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</si>
  <si>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</si>
  <si>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</si>
  <si>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</si>
  <si>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</si>
  <si>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</si>
  <si>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</si>
  <si>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</si>
  <si>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</si>
  <si>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</si>
  <si>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</si>
  <si>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</si>
  <si>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</si>
  <si>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</si>
  <si>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</si>
  <si>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</si>
  <si>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</si>
  <si>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</si>
  <si>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</si>
  <si>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</si>
  <si>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</si>
  <si>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</si>
  <si>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</si>
  <si>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</si>
  <si>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</si>
  <si>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</si>
  <si>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</si>
  <si>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</si>
  <si>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</si>
  <si>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</si>
  <si>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</si>
  <si>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</si>
  <si>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</si>
  <si>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</si>
  <si>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</si>
  <si>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</si>
  <si>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</si>
  <si>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</si>
  <si>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</si>
  <si>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</si>
  <si>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</si>
  <si>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</si>
  <si>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</si>
  <si>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</si>
  <si>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</si>
  <si>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</si>
  <si>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</si>
  <si>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</si>
  <si>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</si>
  <si>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</si>
  <si>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</si>
  <si>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</si>
  <si>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</si>
  <si>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</si>
  <si>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Avg. Rating</t>
  </si>
  <si>
    <t>Total Duration</t>
  </si>
  <si>
    <t>5* Calls</t>
  </si>
  <si>
    <t>Row Labels</t>
  </si>
  <si>
    <t>Grand Total</t>
  </si>
  <si>
    <t>Jan</t>
  </si>
  <si>
    <t>Feb</t>
  </si>
  <si>
    <t>Mar</t>
  </si>
  <si>
    <t>Apr</t>
  </si>
  <si>
    <t>May</t>
  </si>
  <si>
    <t>Jun</t>
  </si>
  <si>
    <t>Jul</t>
  </si>
  <si>
    <t>Aug</t>
  </si>
  <si>
    <t>Sep</t>
  </si>
  <si>
    <t>Oct</t>
  </si>
  <si>
    <t>Nov</t>
  </si>
  <si>
    <t>Dec</t>
  </si>
  <si>
    <t>Count of Call number</t>
  </si>
  <si>
    <t>Friday</t>
  </si>
  <si>
    <t>Monday</t>
  </si>
  <si>
    <t>Saturday</t>
  </si>
  <si>
    <t>Sunday</t>
  </si>
  <si>
    <t>Thursday</t>
  </si>
  <si>
    <t>Tuesday</t>
  </si>
  <si>
    <t>Wednesday</t>
  </si>
  <si>
    <t>Sum of Purchase Amount</t>
  </si>
  <si>
    <t>rep</t>
  </si>
  <si>
    <t>calls</t>
  </si>
  <si>
    <t>amount</t>
  </si>
  <si>
    <t>Sel. Calls</t>
  </si>
  <si>
    <t>Sel. Amount</t>
  </si>
  <si>
    <t>Selected Rep</t>
  </si>
  <si>
    <t>Column Labels</t>
  </si>
  <si>
    <t>TOTAL</t>
  </si>
  <si>
    <t>Rep Summary</t>
  </si>
  <si>
    <t>% of Calls</t>
  </si>
  <si>
    <t>Call Rank</t>
  </si>
  <si>
    <t>Amount Rank</t>
  </si>
  <si>
    <t>call</t>
  </si>
  <si>
    <t>Label</t>
  </si>
  <si>
    <t>image</t>
  </si>
  <si>
    <t>Call Center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</si>
</sst>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409]#,##0"/>
  </numFmts>
  <fonts count="7"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1"/>
      <color theme="0" tint="-0.499984740745262"/>
      <name val="Aptos"/>
      <family val="2"/>
      <scheme val="minor"/>
    </font>
    <font>
      <sz val="18"/>
      <color theme="1" tint="0.34998626667073579"/>
      <name val="Aptos ExtraBold"/>
      <family val="2"/>
      <scheme val="maj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rgb="FFED7D31"/>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2">
    <xf numFmtId="0" fontId="0" fillId="0" borderId="0"/>
    <xf numFmtId="9" fontId="4" fillId="0" borderId="0" applyFont="0" applyFill="0" applyBorder="0" applyAlignment="0" applyProtection="0"/>
  </cellStyleXfs>
  <cellXfs count="47">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3" borderId="0" xfId="0" applyFill="1" applyBorder="1"/>
    <xf numFmtId="9" fontId="0" fillId="0" borderId="0" xfId="1" applyFont="1"/>
    <xf numFmtId="0" fontId="0" fillId="3" borderId="0" xfId="0" applyFill="1" applyAlignment="1">
      <alignment horizontal="center"/>
    </xf>
    <xf numFmtId="0" fontId="5" fillId="3" borderId="0" xfId="0" applyFont="1" applyFill="1" applyAlignment="1">
      <alignment horizontal="center"/>
    </xf>
    <xf numFmtId="0" fontId="0" fillId="5" borderId="9" xfId="0" applyFill="1" applyBorder="1"/>
    <xf numFmtId="0" fontId="0" fillId="5" borderId="10" xfId="0" applyFill="1" applyBorder="1" applyAlignment="1">
      <alignment horizontal="center" vertical="center"/>
    </xf>
    <xf numFmtId="0" fontId="0" fillId="5" borderId="7" xfId="0" applyFill="1" applyBorder="1" applyAlignment="1">
      <alignment horizontal="center" vertical="center"/>
    </xf>
    <xf numFmtId="0" fontId="0" fillId="5" borderId="11" xfId="0" applyFill="1" applyBorder="1"/>
    <xf numFmtId="0" fontId="0" fillId="5" borderId="0" xfId="0" applyFill="1" applyBorder="1"/>
    <xf numFmtId="0" fontId="0" fillId="5" borderId="12" xfId="0" applyFill="1" applyBorder="1"/>
    <xf numFmtId="0" fontId="0" fillId="5" borderId="11" xfId="0" applyFill="1" applyBorder="1" applyAlignment="1">
      <alignment horizontal="center" vertical="center"/>
    </xf>
    <xf numFmtId="168" fontId="0" fillId="5" borderId="0" xfId="0" applyNumberFormat="1" applyFill="1" applyBorder="1"/>
    <xf numFmtId="168" fontId="0" fillId="5" borderId="12" xfId="0" applyNumberFormat="1" applyFill="1" applyBorder="1"/>
    <xf numFmtId="0" fontId="0" fillId="5" borderId="6" xfId="0" applyFill="1" applyBorder="1" applyAlignment="1">
      <alignment horizontal="center" vertical="center"/>
    </xf>
    <xf numFmtId="168" fontId="0" fillId="5" borderId="13" xfId="0" applyNumberFormat="1" applyFill="1" applyBorder="1"/>
    <xf numFmtId="168" fontId="0" fillId="5" borderId="4" xfId="0" applyNumberFormat="1" applyFill="1" applyBorder="1"/>
    <xf numFmtId="0" fontId="6" fillId="3" borderId="0" xfId="0" applyFont="1" applyFill="1" applyAlignment="1">
      <alignment horizontal="left" vertical="center"/>
    </xf>
  </cellXfs>
  <cellStyles count="2">
    <cellStyle name="Normal" xfId="0" builtinId="0"/>
    <cellStyle name="Percent" xfId="1" builtinId="5"/>
  </cellStyles>
  <dxfs count="24">
    <dxf>
      <fill>
        <patternFill patternType="solid">
          <bgColor rgb="FFED7D31"/>
        </patternFill>
      </fill>
    </dxf>
    <dxf>
      <fill>
        <patternFill patternType="solid">
          <bgColor rgb="FFED7D31"/>
        </patternFill>
      </fill>
    </dxf>
    <dxf>
      <fill>
        <patternFill patternType="solid">
          <bgColor rgb="FFED7D31"/>
        </patternFill>
      </fill>
    </dxf>
    <dxf>
      <fill>
        <patternFill patternType="solid">
          <bgColor rgb="FFED7D31"/>
        </patternFill>
      </fill>
    </dxf>
    <dxf>
      <fill>
        <patternFill>
          <bgColor theme="5" tint="0.59996337778862885"/>
        </patternFill>
      </fill>
      <border>
        <left style="thin">
          <color auto="1"/>
        </left>
        <right style="thin">
          <color auto="1"/>
        </right>
        <vertical/>
        <horizontal/>
      </border>
    </dxf>
    <dxf>
      <fill>
        <patternFill>
          <bgColor theme="5" tint="0.59996337778862885"/>
        </patternFill>
      </fill>
      <border>
        <left style="thin">
          <color auto="1"/>
        </left>
        <right style="thin">
          <color auto="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rgb="FFED7D31"/>
        </patternFill>
      </fill>
    </dxf>
    <dxf>
      <font>
        <b/>
        <color theme="1"/>
      </font>
      <border>
        <bottom style="thin">
          <color theme="5"/>
        </bottom>
        <vertical/>
        <horizontal/>
      </border>
    </dxf>
    <dxf>
      <font>
        <b val="0"/>
        <i val="0"/>
        <color theme="1"/>
      </font>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3"/>
    </tableStyle>
    <tableStyle name="SlicerStyleDark2 2" pivot="0" table="0" count="10" xr9:uid="{44C61169-13F7-4400-9301-E9AE99E01FEF}">
      <tableStyleElement type="wholeTable" dxfId="22"/>
      <tableStyleElement type="headerRow" dxfId="21"/>
    </tableStyle>
  </tableStyles>
  <colors>
    <mruColors>
      <color rgb="FFED7D3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theme="0" tint="-0.14996795556505021"/>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[07.sample-data-excel-portfolio-project.xlsx]pivot!weekly trend</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54373621548255"/>
          <c:y val="8.4219098780876689E-2"/>
          <c:w val="0.63703801283394712"/>
          <c:h val="0.86292834890965731"/>
        </c:manualLayout>
      </c:layout>
      <c:barChart>
        <c:barDir val="bar"/>
        <c:grouping val="clustered"/>
        <c:varyColors val="0"/>
        <c:ser>
          <c:idx val="0"/>
          <c:order val="0"/>
          <c:tx>
            <c:strRef>
              <c:f>pivot!$F$13</c:f>
              <c:strCache>
                <c:ptCount val="1"/>
                <c:pt idx="0">
                  <c:v>Total</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pivot!$E$14:$E$21</c:f>
              <c:strCache>
                <c:ptCount val="7"/>
                <c:pt idx="0">
                  <c:v>Sunday</c:v>
                </c:pt>
                <c:pt idx="1">
                  <c:v>Monday</c:v>
                </c:pt>
                <c:pt idx="2">
                  <c:v>Tuesday</c:v>
                </c:pt>
                <c:pt idx="3">
                  <c:v>Wednesday</c:v>
                </c:pt>
                <c:pt idx="4">
                  <c:v>Thursday</c:v>
                </c:pt>
                <c:pt idx="5">
                  <c:v>Friday</c:v>
                </c:pt>
                <c:pt idx="6">
                  <c:v>Saturday</c:v>
                </c:pt>
              </c:strCache>
            </c:strRef>
          </c:cat>
          <c:val>
            <c:numRef>
              <c:f>pivot!$F$14:$F$21</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BB35-4B3F-9150-E6FA0CDAD18B}"/>
            </c:ext>
          </c:extLst>
        </c:ser>
        <c:dLbls>
          <c:dLblPos val="outEnd"/>
          <c:showLegendKey val="0"/>
          <c:showVal val="1"/>
          <c:showCatName val="0"/>
          <c:showSerName val="0"/>
          <c:showPercent val="0"/>
          <c:showBubbleSize val="0"/>
        </c:dLbls>
        <c:gapWidth val="25"/>
        <c:axId val="404739023"/>
        <c:axId val="404741423"/>
      </c:barChart>
      <c:catAx>
        <c:axId val="40473902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741423"/>
        <c:crosses val="autoZero"/>
        <c:auto val="1"/>
        <c:lblAlgn val="ctr"/>
        <c:lblOffset val="100"/>
        <c:noMultiLvlLbl val="0"/>
      </c:catAx>
      <c:valAx>
        <c:axId val="404741423"/>
        <c:scaling>
          <c:orientation val="minMax"/>
        </c:scaling>
        <c:delete val="1"/>
        <c:axPos val="t"/>
        <c:numFmt formatCode="#,##0" sourceLinked="1"/>
        <c:majorTickMark val="none"/>
        <c:minorTickMark val="none"/>
        <c:tickLblPos val="nextTo"/>
        <c:crossAx val="40473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[07.sample-data-excel-portfolio-project.xlsx]pivot!monthly trend</c:name>
    <c:fmtId val="18"/>
  </c:pivotSource>
  <c:chart>
    <c:title>
      <c:layout>
        <c:manualLayout>
          <c:xMode val="edge"/>
          <c:yMode val="edge"/>
          <c:x val="3.008059873344844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alpha val="50000"/>
                  <a:lumMod val="42000"/>
                  <a:lumOff val="58000"/>
                </a:schemeClr>
              </a:gs>
              <a:gs pos="100000">
                <a:srgbClr val="FF0000">
                  <a:lumMod val="94000"/>
                  <a:lumOff val="6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circle"/>
          <c:size val="7"/>
          <c:spPr>
            <a:solidFill>
              <a:schemeClr val="bg1">
                <a:lumMod val="95000"/>
              </a:schemeClr>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pivot!$C$13</c:f>
              <c:strCache>
                <c:ptCount val="1"/>
                <c:pt idx="0">
                  <c:v>Call Count</c:v>
                </c:pt>
              </c:strCache>
            </c:strRef>
          </c:tx>
          <c:spPr>
            <a:gradFill flip="none" rotWithShape="1">
              <a:gsLst>
                <a:gs pos="0">
                  <a:schemeClr val="accent2">
                    <a:alpha val="50000"/>
                    <a:lumMod val="42000"/>
                    <a:lumOff val="58000"/>
                  </a:schemeClr>
                </a:gs>
                <a:gs pos="100000">
                  <a:srgbClr val="FF0000">
                    <a:lumMod val="94000"/>
                    <a:lumOff val="6000"/>
                  </a:srgbClr>
                </a:gs>
              </a:gsLst>
              <a:lin ang="16200000" scaled="1"/>
              <a:tileRect/>
            </a:gradFill>
            <a:ln>
              <a:noFill/>
            </a:ln>
            <a:effectLst/>
          </c:spPr>
          <c:cat>
            <c:strRef>
              <c:f>pivot!$A$14:$A$26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pivot!$C$14:$C$26</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372F-4852-9FE9-EAF2D49A242D}"/>
            </c:ext>
          </c:extLst>
        </c:ser>
        <c:dLbls>
          <c:showLegendKey val="0"/>
          <c:showVal val="0"/>
          <c:showCatName val="0"/>
          <c:showSerName val="0"/>
          <c:showPercent val="0"/>
          <c:showBubbleSize val="0"/>
        </c:dLbls>
        <c:axId val="1930488671"/>
        <c:axId val="1930494431"/>
      </c:areaChart>
      <c:lineChart>
        <c:grouping val="standard"/>
        <c:varyColors val="0"/>
        <c:ser>
          <c:idx val="0"/>
          <c:order val="0"/>
          <c:tx>
            <c:strRef>
              <c:f>pivot!$B$13</c:f>
              <c:strCache>
                <c:ptCount val="1"/>
                <c:pt idx="0">
                  <c:v>Count of Call number</c:v>
                </c:pt>
              </c:strCache>
            </c:strRef>
          </c:tx>
          <c:spPr>
            <a:ln w="28575" cap="rnd">
              <a:solidFill>
                <a:srgbClr val="FF0000"/>
              </a:solidFill>
              <a:round/>
            </a:ln>
            <a:effectLst/>
          </c:spPr>
          <c:marker>
            <c:symbol val="circle"/>
            <c:size val="7"/>
            <c:spPr>
              <a:solidFill>
                <a:schemeClr val="bg1">
                  <a:lumMod val="95000"/>
                </a:schemeClr>
              </a:solidFill>
              <a:ln w="25400">
                <a:solidFill>
                  <a:schemeClr val="tx1">
                    <a:lumMod val="85000"/>
                    <a:lumOff val="15000"/>
                  </a:schemeClr>
                </a:solidFill>
              </a:ln>
              <a:effectLst/>
            </c:spPr>
          </c:marker>
          <c:cat>
            <c:strRef>
              <c:f>pivot!$A$14:$A$26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pivot!$B$14:$B$26</c:f>
              <c:numCache>
                <c:formatCode>General</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372F-4852-9FE9-EAF2D49A242D}"/>
            </c:ext>
          </c:extLst>
        </c:ser>
        <c:dLbls>
          <c:showLegendKey val="0"/>
          <c:showVal val="0"/>
          <c:showCatName val="0"/>
          <c:showSerName val="0"/>
          <c:showPercent val="0"/>
          <c:showBubbleSize val="0"/>
        </c:dLbls>
        <c:marker val="1"/>
        <c:smooth val="0"/>
        <c:axId val="1930488671"/>
        <c:axId val="1930494431"/>
      </c:lineChart>
      <c:catAx>
        <c:axId val="193048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494431"/>
        <c:crosses val="autoZero"/>
        <c:auto val="1"/>
        <c:lblAlgn val="ctr"/>
        <c:lblOffset val="100"/>
        <c:noMultiLvlLbl val="0"/>
      </c:catAx>
      <c:valAx>
        <c:axId val="19304944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488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023308645271404E-2"/>
          <c:y val="8.1409808757305288E-2"/>
          <c:w val="0.94384358690345616"/>
          <c:h val="0.88217595116733905"/>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pivot!$H$22:$H$26</c:f>
              <c:strCache>
                <c:ptCount val="5"/>
                <c:pt idx="0">
                  <c:v>R01</c:v>
                </c:pt>
                <c:pt idx="1">
                  <c:v>R02</c:v>
                </c:pt>
                <c:pt idx="2">
                  <c:v>R03</c:v>
                </c:pt>
                <c:pt idx="3">
                  <c:v>R04</c:v>
                </c:pt>
                <c:pt idx="4">
                  <c:v>R05</c:v>
                </c:pt>
              </c:strCache>
            </c:strRef>
          </c:cat>
          <c:val>
            <c:numRef>
              <c:f>pivot!$I$22:$I$26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D407-4AC6-8D4A-6DD5695F0D1F}"/>
            </c:ext>
          </c:extLst>
        </c:ser>
        <c:ser>
          <c:idx val="1"/>
          <c:order val="1"/>
          <c:tx>
            <c:strRef>
              <c:f>pivot!$K$21</c:f>
              <c:strCache>
                <c:ptCount val="1"/>
                <c:pt idx="0">
                  <c:v>Sel. Calls</c:v>
                </c:pt>
              </c:strCache>
            </c:strRef>
          </c:tx>
          <c:spPr>
            <a:gradFill>
              <a:gsLst>
                <a:gs pos="0">
                  <a:schemeClr val="accent2">
                    <a:lumMod val="60000"/>
                    <a:lumOff val="40000"/>
                  </a:schemeClr>
                </a:gs>
                <a:gs pos="100000">
                  <a:srgbClr val="FF0000"/>
                </a:gs>
              </a:gsLst>
              <a:lin ang="0" scaled="1"/>
            </a:gradFill>
            <a:ln>
              <a:noFill/>
            </a:ln>
            <a:effectLst>
              <a:outerShdw blurRad="241300" dist="50800" dir="5400000" algn="ctr" rotWithShape="0">
                <a:srgbClr val="000000">
                  <a:alpha val="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pivot!$K$22:$K$26</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D407-4AC6-8D4A-6DD5695F0D1F}"/>
            </c:ext>
          </c:extLst>
        </c:ser>
        <c:dLbls>
          <c:dLblPos val="outEnd"/>
          <c:showLegendKey val="0"/>
          <c:showVal val="1"/>
          <c:showCatName val="0"/>
          <c:showSerName val="0"/>
          <c:showPercent val="0"/>
          <c:showBubbleSize val="0"/>
        </c:dLbls>
        <c:gapWidth val="25"/>
        <c:overlap val="100"/>
        <c:axId val="404986383"/>
        <c:axId val="404986863"/>
      </c:barChart>
      <c:catAx>
        <c:axId val="404986383"/>
        <c:scaling>
          <c:orientation val="maxMin"/>
        </c:scaling>
        <c:delete val="1"/>
        <c:axPos val="l"/>
        <c:numFmt formatCode="General" sourceLinked="1"/>
        <c:majorTickMark val="none"/>
        <c:minorTickMark val="none"/>
        <c:tickLblPos val="nextTo"/>
        <c:crossAx val="404986863"/>
        <c:crosses val="autoZero"/>
        <c:auto val="1"/>
        <c:lblAlgn val="ctr"/>
        <c:lblOffset val="100"/>
        <c:noMultiLvlLbl val="0"/>
      </c:catAx>
      <c:valAx>
        <c:axId val="404986863"/>
        <c:scaling>
          <c:orientation val="minMax"/>
          <c:min val="0"/>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solidFill>
                      <a:srgbClr val="FF0000"/>
                    </a:solidFill>
                    <a:latin typeface="+mj-lt"/>
                  </a:rPr>
                  <a:t>Amount</a:t>
                </a:r>
              </a:p>
            </c:rich>
          </c:tx>
          <c:layout>
            <c:manualLayout>
              <c:xMode val="edge"/>
              <c:yMode val="edge"/>
              <c:x val="3.7805869354304279E-2"/>
              <c:y val="1.067576440236368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04986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32489385784817"/>
          <c:y val="7.0353628234104973E-2"/>
          <c:w val="0.79696973133228821"/>
          <c:h val="0.92027325101941237"/>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pivot!$H$22:$H$26</c:f>
              <c:strCache>
                <c:ptCount val="5"/>
                <c:pt idx="0">
                  <c:v>R01</c:v>
                </c:pt>
                <c:pt idx="1">
                  <c:v>R02</c:v>
                </c:pt>
                <c:pt idx="2">
                  <c:v>R03</c:v>
                </c:pt>
                <c:pt idx="3">
                  <c:v>R04</c:v>
                </c:pt>
                <c:pt idx="4">
                  <c:v>R05</c:v>
                </c:pt>
              </c:strCache>
            </c:strRef>
          </c:cat>
          <c:val>
            <c:numRef>
              <c:f>pivot!$J$22:$J$26</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49E3-4CE3-98A2-AE928F05E18E}"/>
            </c:ext>
          </c:extLst>
        </c:ser>
        <c:ser>
          <c:idx val="1"/>
          <c:order val="1"/>
          <c:tx>
            <c:strRef>
              <c:f>pivot!$L$21</c:f>
              <c:strCache>
                <c:ptCount val="1"/>
                <c:pt idx="0">
                  <c:v>Sel. Amount</c:v>
                </c:pt>
              </c:strCache>
            </c:strRef>
          </c:tx>
          <c:spPr>
            <a:gradFill>
              <a:gsLst>
                <a:gs pos="0">
                  <a:schemeClr val="accent2">
                    <a:lumMod val="60000"/>
                    <a:lumOff val="40000"/>
                  </a:schemeClr>
                </a:gs>
                <a:gs pos="100000">
                  <a:srgbClr val="ED7D31"/>
                </a:gs>
              </a:gsLst>
              <a:lin ang="0" scaled="1"/>
            </a:gradFill>
            <a:ln>
              <a:noFill/>
            </a:ln>
            <a:effectLst/>
          </c:spPr>
          <c:invertIfNegative val="0"/>
          <c:val>
            <c:numRef>
              <c:f>pivot!$L$22:$L$26</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49E3-4CE3-98A2-AE928F05E18E}"/>
            </c:ext>
          </c:extLst>
        </c:ser>
        <c:dLbls>
          <c:showLegendKey val="0"/>
          <c:showVal val="0"/>
          <c:showCatName val="0"/>
          <c:showSerName val="0"/>
          <c:showPercent val="0"/>
          <c:showBubbleSize val="0"/>
        </c:dLbls>
        <c:gapWidth val="25"/>
        <c:overlap val="100"/>
        <c:axId val="404986383"/>
        <c:axId val="404986863"/>
      </c:barChart>
      <c:catAx>
        <c:axId val="4049863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86863"/>
        <c:crosses val="autoZero"/>
        <c:auto val="1"/>
        <c:lblAlgn val="ctr"/>
        <c:lblOffset val="100"/>
        <c:noMultiLvlLbl val="0"/>
      </c:catAx>
      <c:valAx>
        <c:axId val="404986863"/>
        <c:scaling>
          <c:orientation val="minMax"/>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solidFill>
                      <a:srgbClr val="FF0000"/>
                    </a:solidFill>
                    <a:latin typeface="+mj-lt"/>
                  </a:rPr>
                  <a:t>Calls</a:t>
                </a:r>
              </a:p>
            </c:rich>
          </c:tx>
          <c:layout>
            <c:manualLayout>
              <c:xMode val="edge"/>
              <c:yMode val="edge"/>
              <c:x val="0.14138915095579493"/>
              <c:y val="0"/>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1"/>
        <c:majorTickMark val="none"/>
        <c:minorTickMark val="none"/>
        <c:tickLblPos val="nextTo"/>
        <c:crossAx val="404986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[07.sample-data-excel-portfolio-project.xlsx]pivot!Gender Caller</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solidFill>
              </a:rPr>
              <a:t>Female</a:t>
            </a:r>
            <a:r>
              <a:rPr lang="en-IN"/>
              <a:t> vs. </a:t>
            </a:r>
            <a:r>
              <a:rPr lang="en-IN">
                <a:solidFill>
                  <a:srgbClr val="0070C0"/>
                </a:solidFill>
              </a:rPr>
              <a:t>Male </a:t>
            </a:r>
            <a:r>
              <a:rPr lang="en-IN">
                <a:solidFill>
                  <a:schemeClr val="bg1">
                    <a:lumMod val="50000"/>
                  </a:schemeClr>
                </a:solidFill>
              </a:rPr>
              <a:t>Callers</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solidFill>
              <a:schemeClr val="bg1">
                <a:lumMod val="7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rgbClr val="0070C0"/>
          </a:solidFill>
          <a:ln>
            <a:noFill/>
          </a:ln>
          <a:effectLst/>
        </c:spPr>
        <c:marker>
          <c:symbol val="none"/>
        </c:marker>
        <c:dLbl>
          <c:idx val="0"/>
          <c:spPr>
            <a:solidFill>
              <a:schemeClr val="bg1">
                <a:lumMod val="7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pivot!$D$30:$D$31</c:f>
              <c:strCache>
                <c:ptCount val="1"/>
                <c:pt idx="0">
                  <c:v>Female</c:v>
                </c:pt>
              </c:strCache>
            </c:strRef>
          </c:tx>
          <c:spPr>
            <a:solidFill>
              <a:schemeClr val="accent2"/>
            </a:solidFill>
            <a:ln>
              <a:noFill/>
            </a:ln>
            <a:effectLst/>
          </c:spPr>
          <c:invertIfNegative val="0"/>
          <c:dLbls>
            <c:spPr>
              <a:solidFill>
                <a:schemeClr val="bg1">
                  <a:lumMod val="7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pivot!$C$32:$C$35</c:f>
              <c:strCache>
                <c:ptCount val="3"/>
                <c:pt idx="0">
                  <c:v>Cincinnati</c:v>
                </c:pt>
                <c:pt idx="1">
                  <c:v>Cleveland</c:v>
                </c:pt>
                <c:pt idx="2">
                  <c:v>Columbus</c:v>
                </c:pt>
              </c:strCache>
            </c:strRef>
          </c:cat>
          <c:val>
            <c:numRef>
              <c:f>pivot!$D$32:$D$35</c:f>
              <c:numCache>
                <c:formatCode>General</c:formatCode>
                <c:ptCount val="3"/>
                <c:pt idx="0">
                  <c:v>144</c:v>
                </c:pt>
                <c:pt idx="1">
                  <c:v>326</c:v>
                </c:pt>
                <c:pt idx="2">
                  <c:v>129</c:v>
                </c:pt>
              </c:numCache>
            </c:numRef>
          </c:val>
          <c:extLst>
            <c:ext xmlns:c16="http://schemas.microsoft.com/office/drawing/2014/chart" uri="{C3380CC4-5D6E-409C-BE32-E72D297353CC}">
              <c16:uniqueId val="{00000000-CD8D-43B7-A7CB-7E49DC7F3085}"/>
            </c:ext>
          </c:extLst>
        </c:ser>
        <c:ser>
          <c:idx val="1"/>
          <c:order val="1"/>
          <c:tx>
            <c:strRef>
              <c:f>pivot!$E$30:$E$31</c:f>
              <c:strCache>
                <c:ptCount val="1"/>
                <c:pt idx="0">
                  <c:v>Male</c:v>
                </c:pt>
              </c:strCache>
            </c:strRef>
          </c:tx>
          <c:spPr>
            <a:solidFill>
              <a:srgbClr val="0070C0"/>
            </a:solidFill>
            <a:ln>
              <a:noFill/>
            </a:ln>
            <a:effectLst/>
          </c:spPr>
          <c:invertIfNegative val="0"/>
          <c:dLbls>
            <c:spPr>
              <a:solidFill>
                <a:schemeClr val="bg1">
                  <a:lumMod val="7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pivot!$C$32:$C$35</c:f>
              <c:strCache>
                <c:ptCount val="3"/>
                <c:pt idx="0">
                  <c:v>Cincinnati</c:v>
                </c:pt>
                <c:pt idx="1">
                  <c:v>Cleveland</c:v>
                </c:pt>
                <c:pt idx="2">
                  <c:v>Columbus</c:v>
                </c:pt>
              </c:strCache>
            </c:strRef>
          </c:cat>
          <c:val>
            <c:numRef>
              <c:f>pivot!$E$32:$E$35</c:f>
              <c:numCache>
                <c:formatCode>General</c:formatCode>
                <c:ptCount val="3"/>
                <c:pt idx="0">
                  <c:v>132</c:v>
                </c:pt>
                <c:pt idx="1">
                  <c:v>63</c:v>
                </c:pt>
                <c:pt idx="2">
                  <c:v>206</c:v>
                </c:pt>
              </c:numCache>
            </c:numRef>
          </c:val>
          <c:extLst>
            <c:ext xmlns:c16="http://schemas.microsoft.com/office/drawing/2014/chart" uri="{C3380CC4-5D6E-409C-BE32-E72D297353CC}">
              <c16:uniqueId val="{00000001-CD8D-43B7-A7CB-7E49DC7F3085}"/>
            </c:ext>
          </c:extLst>
        </c:ser>
        <c:dLbls>
          <c:dLblPos val="ctr"/>
          <c:showLegendKey val="0"/>
          <c:showVal val="1"/>
          <c:showCatName val="0"/>
          <c:showSerName val="0"/>
          <c:showPercent val="0"/>
          <c:showBubbleSize val="0"/>
        </c:dLbls>
        <c:gapWidth val="25"/>
        <c:overlap val="100"/>
        <c:axId val="896038032"/>
        <c:axId val="896047152"/>
      </c:barChart>
      <c:catAx>
        <c:axId val="896038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047152"/>
        <c:crosses val="autoZero"/>
        <c:auto val="1"/>
        <c:lblAlgn val="ctr"/>
        <c:lblOffset val="100"/>
        <c:noMultiLvlLbl val="0"/>
      </c:catAx>
      <c:valAx>
        <c:axId val="896047152"/>
        <c:scaling>
          <c:orientation val="minMax"/>
        </c:scaling>
        <c:delete val="1"/>
        <c:axPos val="l"/>
        <c:numFmt formatCode="0%" sourceLinked="1"/>
        <c:majorTickMark val="out"/>
        <c:minorTickMark val="none"/>
        <c:tickLblPos val="nextTo"/>
        <c:crossAx val="896038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[07.sample-data-excel-portfolio-project.xlsx]pivot!Rating</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pivot!$I$30</c:f>
              <c:strCache>
                <c:ptCount val="1"/>
                <c:pt idx="0">
                  <c:v>Total</c:v>
                </c:pt>
              </c:strCache>
            </c:strRef>
          </c:tx>
          <c:spPr>
            <a:solidFill>
              <a:schemeClr val="accent1"/>
            </a:solidFill>
            <a:ln>
              <a:noFill/>
            </a:ln>
            <a:effectLst/>
          </c:spPr>
          <c:invertIfNegative val="0"/>
          <c:cat>
            <c:strRef>
              <c:f>pivot!$H$31:$H$35</c:f>
              <c:strCache>
                <c:ptCount val="4"/>
                <c:pt idx="0">
                  <c:v>2</c:v>
                </c:pt>
                <c:pt idx="1">
                  <c:v>3</c:v>
                </c:pt>
                <c:pt idx="2">
                  <c:v>4</c:v>
                </c:pt>
                <c:pt idx="3">
                  <c:v>5</c:v>
                </c:pt>
              </c:strCache>
            </c:strRef>
          </c:cat>
          <c:val>
            <c:numRef>
              <c:f>pivot!$I$31:$I$35</c:f>
              <c:numCache>
                <c:formatCode>General</c:formatCode>
                <c:ptCount val="4"/>
                <c:pt idx="0">
                  <c:v>10</c:v>
                </c:pt>
                <c:pt idx="1">
                  <c:v>44</c:v>
                </c:pt>
                <c:pt idx="2">
                  <c:v>95</c:v>
                </c:pt>
                <c:pt idx="3">
                  <c:v>51</c:v>
                </c:pt>
              </c:numCache>
            </c:numRef>
          </c:val>
          <c:extLst>
            <c:ext xmlns:c16="http://schemas.microsoft.com/office/drawing/2014/chart" uri="{C3380CC4-5D6E-409C-BE32-E72D297353CC}">
              <c16:uniqueId val="{00000000-568D-457E-842C-D96C4C8E5F9F}"/>
            </c:ext>
          </c:extLst>
        </c:ser>
        <c:dLbls>
          <c:showLegendKey val="0"/>
          <c:showVal val="0"/>
          <c:showCatName val="0"/>
          <c:showSerName val="0"/>
          <c:showPercent val="0"/>
          <c:showBubbleSize val="0"/>
        </c:dLbls>
        <c:gapWidth val="25"/>
        <c:axId val="1452265968"/>
        <c:axId val="1452266928"/>
      </c:barChart>
      <c:catAx>
        <c:axId val="145226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66928"/>
        <c:crosses val="autoZero"/>
        <c:auto val="1"/>
        <c:lblAlgn val="ctr"/>
        <c:lblOffset val="100"/>
        <c:noMultiLvlLbl val="0"/>
      </c:catAx>
      <c:valAx>
        <c:axId val="14522669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6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7620</xdr:colOff>
      <xdr:row>4</xdr:row>
      <xdr:rowOff>106680</xdr:rowOff>
    </xdr:from>
    <xdr:to>
      <xdr:col>4</xdr:col>
      <xdr:colOff>53340</xdr:colOff>
      <xdr:row>9</xdr:row>
      <xdr:rowOff>83820</xdr:rowOff>
    </xdr:to>
    <xdr:sp macro="" textlink="pivot!A4">
      <xdr:nvSpPr>
        <xdr:cNvPr id="2" name="Rectangle 1">
          <a:extLst>
            <a:ext uri="{FF2B5EF4-FFF2-40B4-BE49-F238E27FC236}">
              <a16:creationId xmlns:a16="http://schemas.microsoft.com/office/drawing/2014/main" id="{EFEF53CF-FF23-331E-D95E-91446CAB0848}"/>
            </a:ext>
          </a:extLst>
        </xdr:cNvPr>
        <xdr:cNvSpPr/>
      </xdr:nvSpPr>
      <xdr:spPr>
        <a:xfrm>
          <a:off x="495300" y="838200"/>
          <a:ext cx="1386840" cy="891540"/>
        </a:xfrm>
        <a:prstGeom prst="rect">
          <a:avLst/>
        </a:prstGeom>
        <a:solidFill>
          <a:srgbClr val="FF0000"/>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738468D-F5DD-48FF-9B8F-A493BB270330}" type="TxLink">
            <a:rPr lang="en-US" sz="2800" b="0" i="0" u="none" strike="noStrike">
              <a:solidFill>
                <a:schemeClr val="bg1"/>
              </a:solidFill>
              <a:latin typeface="+mj-lt"/>
            </a:rPr>
            <a:pPr algn="ctr"/>
            <a:t>1,000</a:t>
          </a:fld>
          <a:endParaRPr lang="en-IN" sz="2800">
            <a:solidFill>
              <a:schemeClr val="bg1"/>
            </a:solidFill>
            <a:latin typeface="+mj-lt"/>
          </a:endParaRPr>
        </a:p>
      </xdr:txBody>
    </xdr:sp>
    <xdr:clientData/>
  </xdr:twoCellAnchor>
  <xdr:twoCellAnchor editAs="oneCell">
    <xdr:from>
      <xdr:col>2</xdr:col>
      <xdr:colOff>100415</xdr:colOff>
      <xdr:row>5</xdr:row>
      <xdr:rowOff>2239</xdr:rowOff>
    </xdr:from>
    <xdr:to>
      <xdr:col>2</xdr:col>
      <xdr:colOff>298291</xdr:colOff>
      <xdr:row>6</xdr:row>
      <xdr:rowOff>12434</xdr:rowOff>
    </xdr:to>
    <xdr:pic>
      <xdr:nvPicPr>
        <xdr:cNvPr id="3" name="Graphic 2" descr="Receiver with solid fill">
          <a:extLst>
            <a:ext uri="{FF2B5EF4-FFF2-40B4-BE49-F238E27FC236}">
              <a16:creationId xmlns:a16="http://schemas.microsoft.com/office/drawing/2014/main" id="{077CFF20-F281-4484-893C-07340A25A40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641583">
          <a:off x="588095" y="916639"/>
          <a:ext cx="197876" cy="193075"/>
        </a:xfrm>
        <a:prstGeom prst="rect">
          <a:avLst/>
        </a:prstGeom>
      </xdr:spPr>
    </xdr:pic>
    <xdr:clientData/>
  </xdr:twoCellAnchor>
  <xdr:twoCellAnchor>
    <xdr:from>
      <xdr:col>2</xdr:col>
      <xdr:colOff>259080</xdr:colOff>
      <xdr:row>4</xdr:row>
      <xdr:rowOff>160020</xdr:rowOff>
    </xdr:from>
    <xdr:to>
      <xdr:col>3</xdr:col>
      <xdr:colOff>457200</xdr:colOff>
      <xdr:row>6</xdr:row>
      <xdr:rowOff>60960</xdr:rowOff>
    </xdr:to>
    <xdr:sp macro="" textlink="">
      <xdr:nvSpPr>
        <xdr:cNvPr id="5" name="TextBox 4">
          <a:extLst>
            <a:ext uri="{FF2B5EF4-FFF2-40B4-BE49-F238E27FC236}">
              <a16:creationId xmlns:a16="http://schemas.microsoft.com/office/drawing/2014/main" id="{B3C93950-8D20-1465-F815-3CD8EC0A0E2D}"/>
            </a:ext>
          </a:extLst>
        </xdr:cNvPr>
        <xdr:cNvSpPr txBox="1"/>
      </xdr:nvSpPr>
      <xdr:spPr>
        <a:xfrm>
          <a:off x="746760" y="891540"/>
          <a:ext cx="8686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75000"/>
                </a:schemeClr>
              </a:solidFill>
              <a:latin typeface="+mj-lt"/>
            </a:rPr>
            <a:t>calls</a:t>
          </a:r>
        </a:p>
      </xdr:txBody>
    </xdr:sp>
    <xdr:clientData/>
  </xdr:twoCellAnchor>
  <xdr:twoCellAnchor>
    <xdr:from>
      <xdr:col>2</xdr:col>
      <xdr:colOff>266700</xdr:colOff>
      <xdr:row>7</xdr:row>
      <xdr:rowOff>175260</xdr:rowOff>
    </xdr:from>
    <xdr:to>
      <xdr:col>3</xdr:col>
      <xdr:colOff>441960</xdr:colOff>
      <xdr:row>9</xdr:row>
      <xdr:rowOff>45720</xdr:rowOff>
    </xdr:to>
    <xdr:sp macro="" textlink="pivot!A9">
      <xdr:nvSpPr>
        <xdr:cNvPr id="6" name="TextBox 5">
          <a:extLst>
            <a:ext uri="{FF2B5EF4-FFF2-40B4-BE49-F238E27FC236}">
              <a16:creationId xmlns:a16="http://schemas.microsoft.com/office/drawing/2014/main" id="{DFE7873A-4921-BE5A-07F4-EDF344F28751}"/>
            </a:ext>
          </a:extLst>
        </xdr:cNvPr>
        <xdr:cNvSpPr txBox="1"/>
      </xdr:nvSpPr>
      <xdr:spPr>
        <a:xfrm>
          <a:off x="754380" y="1455420"/>
          <a:ext cx="8458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CD47C8-D4A0-4E89-9418-A6703F936708}" type="TxLink">
            <a:rPr lang="en-US" sz="1200" b="0" i="0" u="none" strike="noStrike">
              <a:solidFill>
                <a:schemeClr val="bg1">
                  <a:lumMod val="75000"/>
                </a:schemeClr>
              </a:solidFill>
              <a:latin typeface="+mn-lt"/>
            </a:rPr>
            <a:pPr algn="ctr"/>
            <a:t>200</a:t>
          </a:fld>
          <a:endParaRPr lang="en-IN" sz="1200">
            <a:solidFill>
              <a:schemeClr val="bg1">
                <a:lumMod val="75000"/>
              </a:schemeClr>
            </a:solidFill>
            <a:latin typeface="+mn-lt"/>
          </a:endParaRPr>
        </a:p>
      </xdr:txBody>
    </xdr:sp>
    <xdr:clientData/>
  </xdr:twoCellAnchor>
  <xdr:twoCellAnchor>
    <xdr:from>
      <xdr:col>2</xdr:col>
      <xdr:colOff>0</xdr:colOff>
      <xdr:row>12</xdr:row>
      <xdr:rowOff>6621</xdr:rowOff>
    </xdr:from>
    <xdr:to>
      <xdr:col>4</xdr:col>
      <xdr:colOff>45720</xdr:colOff>
      <xdr:row>16</xdr:row>
      <xdr:rowOff>164892</xdr:rowOff>
    </xdr:to>
    <xdr:sp macro="" textlink="pivot!B4">
      <xdr:nvSpPr>
        <xdr:cNvPr id="7" name="Rectangle 6">
          <a:extLst>
            <a:ext uri="{FF2B5EF4-FFF2-40B4-BE49-F238E27FC236}">
              <a16:creationId xmlns:a16="http://schemas.microsoft.com/office/drawing/2014/main" id="{B5698FFB-A23C-4F62-BACE-A15D2E4F757D}"/>
            </a:ext>
          </a:extLst>
        </xdr:cNvPr>
        <xdr:cNvSpPr/>
      </xdr:nvSpPr>
      <xdr:spPr>
        <a:xfrm>
          <a:off x="487180" y="2180195"/>
          <a:ext cx="1382343" cy="882795"/>
        </a:xfrm>
        <a:prstGeom prst="rect">
          <a:avLst/>
        </a:prstGeom>
        <a:solidFill>
          <a:srgbClr val="FF0000"/>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CCC2D18-92BC-48B7-8F56-243B0A224F47}" type="TxLink">
            <a:rPr lang="en-US" sz="2000" b="0" i="0" u="none" strike="noStrike">
              <a:solidFill>
                <a:schemeClr val="bg1"/>
              </a:solidFill>
              <a:latin typeface="+mj-lt"/>
              <a:ea typeface="+mn-ea"/>
              <a:cs typeface="+mn-cs"/>
            </a:rPr>
            <a:pPr marL="0" indent="0" algn="ctr"/>
            <a:t>$96,623</a:t>
          </a:fld>
          <a:endParaRPr lang="en-IN" sz="2000" b="0" i="0" u="none" strike="noStrike">
            <a:solidFill>
              <a:schemeClr val="bg1"/>
            </a:solidFill>
            <a:latin typeface="+mj-lt"/>
            <a:ea typeface="+mn-ea"/>
            <a:cs typeface="+mn-cs"/>
          </a:endParaRPr>
        </a:p>
      </xdr:txBody>
    </xdr:sp>
    <xdr:clientData/>
  </xdr:twoCellAnchor>
  <xdr:twoCellAnchor editAs="oneCell">
    <xdr:from>
      <xdr:col>2</xdr:col>
      <xdr:colOff>68772</xdr:colOff>
      <xdr:row>12</xdr:row>
      <xdr:rowOff>94885</xdr:rowOff>
    </xdr:from>
    <xdr:to>
      <xdr:col>2</xdr:col>
      <xdr:colOff>275397</xdr:colOff>
      <xdr:row>13</xdr:row>
      <xdr:rowOff>120604</xdr:rowOff>
    </xdr:to>
    <xdr:pic>
      <xdr:nvPicPr>
        <xdr:cNvPr id="8" name="Graphic 7">
          <a:extLst>
            <a:ext uri="{FF2B5EF4-FFF2-40B4-BE49-F238E27FC236}">
              <a16:creationId xmlns:a16="http://schemas.microsoft.com/office/drawing/2014/main" id="{C445255C-4A90-480C-890C-E67043D3978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51189" y="2265763"/>
          <a:ext cx="206625" cy="206625"/>
        </a:xfrm>
        <a:prstGeom prst="rect">
          <a:avLst/>
        </a:prstGeom>
      </xdr:spPr>
    </xdr:pic>
    <xdr:clientData/>
  </xdr:twoCellAnchor>
  <xdr:twoCellAnchor>
    <xdr:from>
      <xdr:col>2</xdr:col>
      <xdr:colOff>213985</xdr:colOff>
      <xdr:row>12</xdr:row>
      <xdr:rowOff>65832</xdr:rowOff>
    </xdr:from>
    <xdr:to>
      <xdr:col>3</xdr:col>
      <xdr:colOff>580869</xdr:colOff>
      <xdr:row>13</xdr:row>
      <xdr:rowOff>124918</xdr:rowOff>
    </xdr:to>
    <xdr:sp macro="" textlink="">
      <xdr:nvSpPr>
        <xdr:cNvPr id="9" name="TextBox 8">
          <a:extLst>
            <a:ext uri="{FF2B5EF4-FFF2-40B4-BE49-F238E27FC236}">
              <a16:creationId xmlns:a16="http://schemas.microsoft.com/office/drawing/2014/main" id="{60D3913A-A6E8-4041-9303-069D43792347}"/>
            </a:ext>
          </a:extLst>
        </xdr:cNvPr>
        <xdr:cNvSpPr txBox="1"/>
      </xdr:nvSpPr>
      <xdr:spPr>
        <a:xfrm>
          <a:off x="701165" y="2239406"/>
          <a:ext cx="1035196" cy="240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a:solidFill>
                <a:schemeClr val="bg1">
                  <a:lumMod val="75000"/>
                </a:schemeClr>
              </a:solidFill>
              <a:latin typeface="+mj-lt"/>
            </a:rPr>
            <a:t>Total Amount</a:t>
          </a:r>
        </a:p>
      </xdr:txBody>
    </xdr:sp>
    <xdr:clientData/>
  </xdr:twoCellAnchor>
  <xdr:twoCellAnchor>
    <xdr:from>
      <xdr:col>2</xdr:col>
      <xdr:colOff>259080</xdr:colOff>
      <xdr:row>15</xdr:row>
      <xdr:rowOff>68580</xdr:rowOff>
    </xdr:from>
    <xdr:to>
      <xdr:col>3</xdr:col>
      <xdr:colOff>434340</xdr:colOff>
      <xdr:row>16</xdr:row>
      <xdr:rowOff>121920</xdr:rowOff>
    </xdr:to>
    <xdr:sp macro="" textlink="pivot!B9">
      <xdr:nvSpPr>
        <xdr:cNvPr id="10" name="TextBox 9">
          <a:extLst>
            <a:ext uri="{FF2B5EF4-FFF2-40B4-BE49-F238E27FC236}">
              <a16:creationId xmlns:a16="http://schemas.microsoft.com/office/drawing/2014/main" id="{C7F85BC1-6340-4216-BDA0-3737F3544142}"/>
            </a:ext>
          </a:extLst>
        </xdr:cNvPr>
        <xdr:cNvSpPr txBox="1"/>
      </xdr:nvSpPr>
      <xdr:spPr>
        <a:xfrm>
          <a:off x="746760" y="2811780"/>
          <a:ext cx="8458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309004-DD1D-4F21-BEAD-61CD0D18C079}" type="TxLink">
            <a:rPr lang="en-US" sz="1100" b="0" i="0" u="none" strike="noStrike">
              <a:solidFill>
                <a:schemeClr val="bg1">
                  <a:lumMod val="75000"/>
                </a:schemeClr>
              </a:solidFill>
              <a:latin typeface="Aptos"/>
            </a:rPr>
            <a:pPr algn="ctr"/>
            <a:t>$20,104</a:t>
          </a:fld>
          <a:endParaRPr lang="en-IN" sz="1200">
            <a:solidFill>
              <a:schemeClr val="bg1">
                <a:lumMod val="75000"/>
              </a:schemeClr>
            </a:solidFill>
            <a:latin typeface="+mn-lt"/>
          </a:endParaRPr>
        </a:p>
      </xdr:txBody>
    </xdr:sp>
    <xdr:clientData/>
  </xdr:twoCellAnchor>
  <xdr:twoCellAnchor>
    <xdr:from>
      <xdr:col>1</xdr:col>
      <xdr:colOff>242846</xdr:colOff>
      <xdr:row>19</xdr:row>
      <xdr:rowOff>76200</xdr:rowOff>
    </xdr:from>
    <xdr:to>
      <xdr:col>4</xdr:col>
      <xdr:colOff>44726</xdr:colOff>
      <xdr:row>24</xdr:row>
      <xdr:rowOff>53340</xdr:rowOff>
    </xdr:to>
    <xdr:sp macro="" textlink="pivot!C4">
      <xdr:nvSpPr>
        <xdr:cNvPr id="11" name="Rectangle 10">
          <a:extLst>
            <a:ext uri="{FF2B5EF4-FFF2-40B4-BE49-F238E27FC236}">
              <a16:creationId xmlns:a16="http://schemas.microsoft.com/office/drawing/2014/main" id="{0940AF97-E03F-497E-8F9B-BEDC1666FB5C}"/>
            </a:ext>
          </a:extLst>
        </xdr:cNvPr>
        <xdr:cNvSpPr/>
      </xdr:nvSpPr>
      <xdr:spPr>
        <a:xfrm>
          <a:off x="488011" y="3601278"/>
          <a:ext cx="1385515" cy="904792"/>
        </a:xfrm>
        <a:prstGeom prst="rect">
          <a:avLst/>
        </a:prstGeom>
        <a:solidFill>
          <a:srgbClr val="FF0000"/>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DF8B22C-1412-4CF4-8D0A-1D4377093CED}" type="TxLink">
            <a:rPr lang="en-US" sz="2400" b="0" i="0" u="none" strike="noStrike">
              <a:solidFill>
                <a:schemeClr val="bg1"/>
              </a:solidFill>
              <a:latin typeface="+mj-lt"/>
              <a:ea typeface="+mn-ea"/>
              <a:cs typeface="+mn-cs"/>
            </a:rPr>
            <a:pPr marL="0" indent="0" algn="ctr"/>
            <a:t>89,850</a:t>
          </a:fld>
          <a:endParaRPr lang="en-IN" sz="2400" b="0" i="0" u="none" strike="noStrike">
            <a:solidFill>
              <a:schemeClr val="bg1"/>
            </a:solidFill>
            <a:latin typeface="+mj-lt"/>
            <a:ea typeface="+mn-ea"/>
            <a:cs typeface="+mn-cs"/>
          </a:endParaRPr>
        </a:p>
      </xdr:txBody>
    </xdr:sp>
    <xdr:clientData/>
  </xdr:twoCellAnchor>
  <xdr:twoCellAnchor editAs="oneCell">
    <xdr:from>
      <xdr:col>2</xdr:col>
      <xdr:colOff>19988</xdr:colOff>
      <xdr:row>19</xdr:row>
      <xdr:rowOff>154639</xdr:rowOff>
    </xdr:from>
    <xdr:to>
      <xdr:col>2</xdr:col>
      <xdr:colOff>251791</xdr:colOff>
      <xdr:row>21</xdr:row>
      <xdr:rowOff>15381</xdr:rowOff>
    </xdr:to>
    <xdr:pic>
      <xdr:nvPicPr>
        <xdr:cNvPr id="12" name="Graphic 11">
          <a:extLst>
            <a:ext uri="{FF2B5EF4-FFF2-40B4-BE49-F238E27FC236}">
              <a16:creationId xmlns:a16="http://schemas.microsoft.com/office/drawing/2014/main" id="{D83D0F60-A88D-454C-A4F9-C8AD8B4BF1F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510318" y="3679717"/>
          <a:ext cx="231803" cy="231803"/>
        </a:xfrm>
        <a:prstGeom prst="rect">
          <a:avLst/>
        </a:prstGeom>
      </xdr:spPr>
    </xdr:pic>
    <xdr:clientData/>
  </xdr:twoCellAnchor>
  <xdr:twoCellAnchor>
    <xdr:from>
      <xdr:col>2</xdr:col>
      <xdr:colOff>187628</xdr:colOff>
      <xdr:row>19</xdr:row>
      <xdr:rowOff>143554</xdr:rowOff>
    </xdr:from>
    <xdr:to>
      <xdr:col>3</xdr:col>
      <xdr:colOff>589723</xdr:colOff>
      <xdr:row>21</xdr:row>
      <xdr:rowOff>44494</xdr:rowOff>
    </xdr:to>
    <xdr:sp macro="" textlink="">
      <xdr:nvSpPr>
        <xdr:cNvPr id="13" name="TextBox 12">
          <a:extLst>
            <a:ext uri="{FF2B5EF4-FFF2-40B4-BE49-F238E27FC236}">
              <a16:creationId xmlns:a16="http://schemas.microsoft.com/office/drawing/2014/main" id="{AB4F733E-360C-41CA-9854-5BAD599B4FBB}"/>
            </a:ext>
          </a:extLst>
        </xdr:cNvPr>
        <xdr:cNvSpPr txBox="1"/>
      </xdr:nvSpPr>
      <xdr:spPr>
        <a:xfrm>
          <a:off x="677958" y="3668632"/>
          <a:ext cx="1071330" cy="272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lumMod val="75000"/>
                </a:schemeClr>
              </a:solidFill>
              <a:latin typeface="+mj-lt"/>
            </a:rPr>
            <a:t>Total Duration</a:t>
          </a:r>
        </a:p>
      </xdr:txBody>
    </xdr:sp>
    <xdr:clientData/>
  </xdr:twoCellAnchor>
  <xdr:twoCellAnchor>
    <xdr:from>
      <xdr:col>2</xdr:col>
      <xdr:colOff>251460</xdr:colOff>
      <xdr:row>22</xdr:row>
      <xdr:rowOff>144780</xdr:rowOff>
    </xdr:from>
    <xdr:to>
      <xdr:col>3</xdr:col>
      <xdr:colOff>426720</xdr:colOff>
      <xdr:row>24</xdr:row>
      <xdr:rowOff>15240</xdr:rowOff>
    </xdr:to>
    <xdr:sp macro="" textlink="pivot!C9">
      <xdr:nvSpPr>
        <xdr:cNvPr id="14" name="TextBox 13">
          <a:extLst>
            <a:ext uri="{FF2B5EF4-FFF2-40B4-BE49-F238E27FC236}">
              <a16:creationId xmlns:a16="http://schemas.microsoft.com/office/drawing/2014/main" id="{207EB483-9827-44BF-9184-B166150C9DBE}"/>
            </a:ext>
          </a:extLst>
        </xdr:cNvPr>
        <xdr:cNvSpPr txBox="1"/>
      </xdr:nvSpPr>
      <xdr:spPr>
        <a:xfrm>
          <a:off x="739140" y="4168140"/>
          <a:ext cx="8458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B16617-A558-4021-AFB1-5C9546CDBFBD}" type="TxLink">
            <a:rPr lang="en-US" sz="1100" b="0" i="0" u="none" strike="noStrike">
              <a:solidFill>
                <a:schemeClr val="bg1">
                  <a:lumMod val="75000"/>
                </a:schemeClr>
              </a:solidFill>
              <a:latin typeface="Aptos"/>
            </a:rPr>
            <a:pPr algn="ctr"/>
            <a:t>18,209</a:t>
          </a:fld>
          <a:endParaRPr lang="en-IN" sz="1200">
            <a:solidFill>
              <a:schemeClr val="bg1">
                <a:lumMod val="75000"/>
              </a:schemeClr>
            </a:solidFill>
            <a:latin typeface="+mn-lt"/>
          </a:endParaRPr>
        </a:p>
      </xdr:txBody>
    </xdr:sp>
    <xdr:clientData/>
  </xdr:twoCellAnchor>
  <xdr:twoCellAnchor>
    <xdr:from>
      <xdr:col>2</xdr:col>
      <xdr:colOff>5482</xdr:colOff>
      <xdr:row>27</xdr:row>
      <xdr:rowOff>4338</xdr:rowOff>
    </xdr:from>
    <xdr:to>
      <xdr:col>4</xdr:col>
      <xdr:colOff>51202</xdr:colOff>
      <xdr:row>31</xdr:row>
      <xdr:rowOff>164358</xdr:rowOff>
    </xdr:to>
    <xdr:sp macro="" textlink="pivot!D4">
      <xdr:nvSpPr>
        <xdr:cNvPr id="15" name="Rectangle 14">
          <a:extLst>
            <a:ext uri="{FF2B5EF4-FFF2-40B4-BE49-F238E27FC236}">
              <a16:creationId xmlns:a16="http://schemas.microsoft.com/office/drawing/2014/main" id="{91C24281-B935-486A-AF7F-D2A1C3A745CE}"/>
            </a:ext>
          </a:extLst>
        </xdr:cNvPr>
        <xdr:cNvSpPr/>
      </xdr:nvSpPr>
      <xdr:spPr>
        <a:xfrm>
          <a:off x="495812" y="5013660"/>
          <a:ext cx="1384190" cy="902141"/>
        </a:xfrm>
        <a:prstGeom prst="rect">
          <a:avLst/>
        </a:prstGeom>
        <a:solidFill>
          <a:srgbClr val="FF0000"/>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5794D11-DBCA-47B1-BFA1-BB7C22D51919}" type="TxLink">
            <a:rPr lang="en-US" sz="2800" b="0" i="0" u="none" strike="noStrike">
              <a:solidFill>
                <a:schemeClr val="bg1"/>
              </a:solidFill>
              <a:latin typeface="+mj-lt"/>
              <a:ea typeface="+mn-ea"/>
              <a:cs typeface="+mn-cs"/>
            </a:rPr>
            <a:pPr marL="0" indent="0" algn="ctr"/>
            <a:t>3.9</a:t>
          </a:fld>
          <a:endParaRPr lang="en-IN" sz="2800" b="0" i="0" u="none" strike="noStrike">
            <a:solidFill>
              <a:schemeClr val="bg1"/>
            </a:solidFill>
            <a:latin typeface="+mj-lt"/>
            <a:ea typeface="+mn-ea"/>
            <a:cs typeface="+mn-cs"/>
          </a:endParaRPr>
        </a:p>
      </xdr:txBody>
    </xdr:sp>
    <xdr:clientData/>
  </xdr:twoCellAnchor>
  <xdr:twoCellAnchor editAs="oneCell">
    <xdr:from>
      <xdr:col>2</xdr:col>
      <xdr:colOff>40425</xdr:colOff>
      <xdr:row>27</xdr:row>
      <xdr:rowOff>26812</xdr:rowOff>
    </xdr:from>
    <xdr:to>
      <xdr:col>2</xdr:col>
      <xdr:colOff>331536</xdr:colOff>
      <xdr:row>28</xdr:row>
      <xdr:rowOff>152400</xdr:rowOff>
    </xdr:to>
    <xdr:pic>
      <xdr:nvPicPr>
        <xdr:cNvPr id="16" name="Graphic 15">
          <a:extLst>
            <a:ext uri="{FF2B5EF4-FFF2-40B4-BE49-F238E27FC236}">
              <a16:creationId xmlns:a16="http://schemas.microsoft.com/office/drawing/2014/main" id="{87E6DB30-21D2-4AFC-9B36-D2C853D7626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30755" y="5036134"/>
          <a:ext cx="291111" cy="311118"/>
        </a:xfrm>
        <a:prstGeom prst="rect">
          <a:avLst/>
        </a:prstGeom>
      </xdr:spPr>
    </xdr:pic>
    <xdr:clientData/>
  </xdr:twoCellAnchor>
  <xdr:twoCellAnchor>
    <xdr:from>
      <xdr:col>2</xdr:col>
      <xdr:colOff>250548</xdr:colOff>
      <xdr:row>27</xdr:row>
      <xdr:rowOff>51428</xdr:rowOff>
    </xdr:from>
    <xdr:to>
      <xdr:col>3</xdr:col>
      <xdr:colOff>516835</xdr:colOff>
      <xdr:row>28</xdr:row>
      <xdr:rowOff>135248</xdr:rowOff>
    </xdr:to>
    <xdr:sp macro="" textlink="">
      <xdr:nvSpPr>
        <xdr:cNvPr id="17" name="TextBox 16">
          <a:extLst>
            <a:ext uri="{FF2B5EF4-FFF2-40B4-BE49-F238E27FC236}">
              <a16:creationId xmlns:a16="http://schemas.microsoft.com/office/drawing/2014/main" id="{FFB5B2F1-651D-4526-9EC6-176E51A2B38C}"/>
            </a:ext>
          </a:extLst>
        </xdr:cNvPr>
        <xdr:cNvSpPr txBox="1"/>
      </xdr:nvSpPr>
      <xdr:spPr>
        <a:xfrm>
          <a:off x="740878" y="5060750"/>
          <a:ext cx="935522" cy="269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bg1">
                  <a:lumMod val="75000"/>
                </a:schemeClr>
              </a:solidFill>
              <a:latin typeface="+mj-lt"/>
            </a:rPr>
            <a:t>Avg. Rating</a:t>
          </a:r>
        </a:p>
      </xdr:txBody>
    </xdr:sp>
    <xdr:clientData/>
  </xdr:twoCellAnchor>
  <xdr:twoCellAnchor>
    <xdr:from>
      <xdr:col>2</xdr:col>
      <xdr:colOff>259080</xdr:colOff>
      <xdr:row>30</xdr:row>
      <xdr:rowOff>68580</xdr:rowOff>
    </xdr:from>
    <xdr:to>
      <xdr:col>3</xdr:col>
      <xdr:colOff>434340</xdr:colOff>
      <xdr:row>31</xdr:row>
      <xdr:rowOff>121920</xdr:rowOff>
    </xdr:to>
    <xdr:sp macro="" textlink="pivot!D9">
      <xdr:nvSpPr>
        <xdr:cNvPr id="18" name="TextBox 17">
          <a:extLst>
            <a:ext uri="{FF2B5EF4-FFF2-40B4-BE49-F238E27FC236}">
              <a16:creationId xmlns:a16="http://schemas.microsoft.com/office/drawing/2014/main" id="{5335C395-D1E3-489D-B010-F8DD1725D2D1}"/>
            </a:ext>
          </a:extLst>
        </xdr:cNvPr>
        <xdr:cNvSpPr txBox="1"/>
      </xdr:nvSpPr>
      <xdr:spPr>
        <a:xfrm>
          <a:off x="746760" y="5554980"/>
          <a:ext cx="8458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8C0AB8-DC31-4912-B4C8-E98050172A3C}" type="TxLink">
            <a:rPr lang="en-US" sz="1100" b="0" i="0" u="none" strike="noStrike">
              <a:solidFill>
                <a:schemeClr val="bg1">
                  <a:lumMod val="75000"/>
                </a:schemeClr>
              </a:solidFill>
              <a:latin typeface="Aptos"/>
            </a:rPr>
            <a:pPr algn="ctr"/>
            <a:t>3.9</a:t>
          </a:fld>
          <a:endParaRPr lang="en-IN" sz="1200">
            <a:solidFill>
              <a:schemeClr val="bg1">
                <a:lumMod val="75000"/>
              </a:schemeClr>
            </a:solidFill>
            <a:latin typeface="+mn-lt"/>
          </a:endParaRPr>
        </a:p>
      </xdr:txBody>
    </xdr:sp>
    <xdr:clientData/>
  </xdr:twoCellAnchor>
  <xdr:twoCellAnchor>
    <xdr:from>
      <xdr:col>1</xdr:col>
      <xdr:colOff>230121</xdr:colOff>
      <xdr:row>34</xdr:row>
      <xdr:rowOff>15667</xdr:rowOff>
    </xdr:from>
    <xdr:to>
      <xdr:col>4</xdr:col>
      <xdr:colOff>30676</xdr:colOff>
      <xdr:row>38</xdr:row>
      <xdr:rowOff>175687</xdr:rowOff>
    </xdr:to>
    <xdr:sp macro="" textlink="pivot!E4">
      <xdr:nvSpPr>
        <xdr:cNvPr id="19" name="Rectangle 18">
          <a:extLst>
            <a:ext uri="{FF2B5EF4-FFF2-40B4-BE49-F238E27FC236}">
              <a16:creationId xmlns:a16="http://schemas.microsoft.com/office/drawing/2014/main" id="{B7A784F0-EBC5-4F31-B36C-3DBE8AC5C50B}"/>
            </a:ext>
          </a:extLst>
        </xdr:cNvPr>
        <xdr:cNvSpPr/>
      </xdr:nvSpPr>
      <xdr:spPr>
        <a:xfrm>
          <a:off x="474298" y="6170606"/>
          <a:ext cx="1383494" cy="884131"/>
        </a:xfrm>
        <a:prstGeom prst="rect">
          <a:avLst/>
        </a:prstGeom>
        <a:solidFill>
          <a:srgbClr val="FF0000"/>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E8E6F1-711A-420B-AC87-DF43E25FB883}" type="TxLink">
            <a:rPr lang="en-US" sz="2400" b="0" i="0" u="none" strike="noStrike">
              <a:solidFill>
                <a:schemeClr val="bg1"/>
              </a:solidFill>
              <a:latin typeface="Arial Black" panose="020B0A04020102020204" pitchFamily="34" charset="0"/>
            </a:rPr>
            <a:pPr algn="ctr"/>
            <a:t>307</a:t>
          </a:fld>
          <a:endParaRPr lang="en-IN" sz="2400">
            <a:solidFill>
              <a:schemeClr val="bg1"/>
            </a:solidFill>
            <a:latin typeface="Arial Black" panose="020B0A04020102020204" pitchFamily="34" charset="0"/>
          </a:endParaRPr>
        </a:p>
      </xdr:txBody>
    </xdr:sp>
    <xdr:clientData/>
  </xdr:twoCellAnchor>
  <xdr:twoCellAnchor>
    <xdr:from>
      <xdr:col>2</xdr:col>
      <xdr:colOff>245978</xdr:colOff>
      <xdr:row>34</xdr:row>
      <xdr:rowOff>67736</xdr:rowOff>
    </xdr:from>
    <xdr:to>
      <xdr:col>3</xdr:col>
      <xdr:colOff>596348</xdr:colOff>
      <xdr:row>35</xdr:row>
      <xdr:rowOff>151556</xdr:rowOff>
    </xdr:to>
    <xdr:sp macro="" textlink="">
      <xdr:nvSpPr>
        <xdr:cNvPr id="21" name="TextBox 20">
          <a:extLst>
            <a:ext uri="{FF2B5EF4-FFF2-40B4-BE49-F238E27FC236}">
              <a16:creationId xmlns:a16="http://schemas.microsoft.com/office/drawing/2014/main" id="{F75E4D95-7462-4631-9DCE-E6A846859CB8}"/>
            </a:ext>
          </a:extLst>
        </xdr:cNvPr>
        <xdr:cNvSpPr txBox="1"/>
      </xdr:nvSpPr>
      <xdr:spPr>
        <a:xfrm>
          <a:off x="736308" y="6375771"/>
          <a:ext cx="1019605" cy="269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lumMod val="75000"/>
                </a:schemeClr>
              </a:solidFill>
              <a:latin typeface="+mj-lt"/>
            </a:rPr>
            <a:t>Happy Callers</a:t>
          </a:r>
        </a:p>
      </xdr:txBody>
    </xdr:sp>
    <xdr:clientData/>
  </xdr:twoCellAnchor>
  <xdr:twoCellAnchor>
    <xdr:from>
      <xdr:col>2</xdr:col>
      <xdr:colOff>259080</xdr:colOff>
      <xdr:row>37</xdr:row>
      <xdr:rowOff>68580</xdr:rowOff>
    </xdr:from>
    <xdr:to>
      <xdr:col>3</xdr:col>
      <xdr:colOff>434340</xdr:colOff>
      <xdr:row>38</xdr:row>
      <xdr:rowOff>121920</xdr:rowOff>
    </xdr:to>
    <xdr:sp macro="" textlink="pivot!E9">
      <xdr:nvSpPr>
        <xdr:cNvPr id="22" name="TextBox 21">
          <a:extLst>
            <a:ext uri="{FF2B5EF4-FFF2-40B4-BE49-F238E27FC236}">
              <a16:creationId xmlns:a16="http://schemas.microsoft.com/office/drawing/2014/main" id="{69246090-07BA-47AF-BC90-9FB1B628AEB4}"/>
            </a:ext>
          </a:extLst>
        </xdr:cNvPr>
        <xdr:cNvSpPr txBox="1"/>
      </xdr:nvSpPr>
      <xdr:spPr>
        <a:xfrm>
          <a:off x="746760" y="6835140"/>
          <a:ext cx="8458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7E5BDA-9094-44E6-AED3-EB49B112132A}" type="TxLink">
            <a:rPr lang="en-US" sz="1100" b="0" i="0" u="none" strike="noStrike">
              <a:solidFill>
                <a:schemeClr val="bg1">
                  <a:lumMod val="75000"/>
                </a:schemeClr>
              </a:solidFill>
              <a:latin typeface="Aptos"/>
            </a:rPr>
            <a:pPr algn="ctr"/>
            <a:t>51</a:t>
          </a:fld>
          <a:endParaRPr lang="en-IN" sz="1200">
            <a:solidFill>
              <a:schemeClr val="bg1">
                <a:lumMod val="75000"/>
              </a:schemeClr>
            </a:solidFill>
            <a:latin typeface="+mn-lt"/>
          </a:endParaRPr>
        </a:p>
      </xdr:txBody>
    </xdr:sp>
    <xdr:clientData/>
  </xdr:twoCellAnchor>
  <xdr:twoCellAnchor editAs="oneCell">
    <xdr:from>
      <xdr:col>11</xdr:col>
      <xdr:colOff>475452</xdr:colOff>
      <xdr:row>21</xdr:row>
      <xdr:rowOff>48477</xdr:rowOff>
    </xdr:from>
    <xdr:to>
      <xdr:col>14</xdr:col>
      <xdr:colOff>9080</xdr:colOff>
      <xdr:row>31</xdr:row>
      <xdr:rowOff>56865</xdr:rowOff>
    </xdr:to>
    <mc:AlternateContent xmlns:mc="http://schemas.openxmlformats.org/markup-compatibility/2006" xmlns:a14="http://schemas.microsoft.com/office/drawing/2010/main">
      <mc:Choice Requires="a14">
        <xdr:graphicFrame macro="">
          <xdr:nvGraphicFramePr>
            <xdr:cNvPr id="23" name="Representative">
              <a:extLst>
                <a:ext uri="{FF2B5EF4-FFF2-40B4-BE49-F238E27FC236}">
                  <a16:creationId xmlns:a16="http://schemas.microsoft.com/office/drawing/2014/main" id="{FB5DB5DE-9AD8-4EB3-AD20-B05DF8AA300A}"/>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993865" y="3875042"/>
              <a:ext cx="1546302" cy="1675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39757</xdr:colOff>
      <xdr:row>34</xdr:row>
      <xdr:rowOff>86140</xdr:rowOff>
    </xdr:from>
    <xdr:to>
      <xdr:col>2</xdr:col>
      <xdr:colOff>311426</xdr:colOff>
      <xdr:row>35</xdr:row>
      <xdr:rowOff>165688</xdr:rowOff>
    </xdr:to>
    <xdr:pic>
      <xdr:nvPicPr>
        <xdr:cNvPr id="27" name="Graphic 26" descr="Star-struck face outline with solid fill">
          <a:extLst>
            <a:ext uri="{FF2B5EF4-FFF2-40B4-BE49-F238E27FC236}">
              <a16:creationId xmlns:a16="http://schemas.microsoft.com/office/drawing/2014/main" id="{188066D9-0C02-4D85-8933-C7CE354FC32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30087" y="6394175"/>
          <a:ext cx="271669" cy="265078"/>
        </a:xfrm>
        <a:prstGeom prst="rect">
          <a:avLst/>
        </a:prstGeom>
      </xdr:spPr>
    </xdr:pic>
    <xdr:clientData/>
  </xdr:twoCellAnchor>
  <xdr:twoCellAnchor>
    <xdr:from>
      <xdr:col>10</xdr:col>
      <xdr:colOff>367252</xdr:colOff>
      <xdr:row>5</xdr:row>
      <xdr:rowOff>57150</xdr:rowOff>
    </xdr:from>
    <xdr:to>
      <xdr:col>14</xdr:col>
      <xdr:colOff>205327</xdr:colOff>
      <xdr:row>16</xdr:row>
      <xdr:rowOff>104775</xdr:rowOff>
    </xdr:to>
    <xdr:graphicFrame macro="">
      <xdr:nvGraphicFramePr>
        <xdr:cNvPr id="20" name="Chart 19">
          <a:extLst>
            <a:ext uri="{FF2B5EF4-FFF2-40B4-BE49-F238E27FC236}">
              <a16:creationId xmlns:a16="http://schemas.microsoft.com/office/drawing/2014/main" id="{086A1495-6A02-463B-9F11-4F4F25B17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619125</xdr:colOff>
      <xdr:row>4</xdr:row>
      <xdr:rowOff>83344</xdr:rowOff>
    </xdr:from>
    <xdr:to>
      <xdr:col>10</xdr:col>
      <xdr:colOff>487052</xdr:colOff>
      <xdr:row>17</xdr:row>
      <xdr:rowOff>29767</xdr:rowOff>
    </xdr:to>
    <xdr:graphicFrame macro="">
      <xdr:nvGraphicFramePr>
        <xdr:cNvPr id="4" name="Chart 3">
          <a:extLst>
            <a:ext uri="{FF2B5EF4-FFF2-40B4-BE49-F238E27FC236}">
              <a16:creationId xmlns:a16="http://schemas.microsoft.com/office/drawing/2014/main" id="{35E1D6CC-608B-49E3-8868-5903AD3FC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0</xdr:colOff>
      <xdr:row>19</xdr:row>
      <xdr:rowOff>73069</xdr:rowOff>
    </xdr:from>
    <xdr:to>
      <xdr:col>11</xdr:col>
      <xdr:colOff>470899</xdr:colOff>
      <xdr:row>39</xdr:row>
      <xdr:rowOff>52193</xdr:rowOff>
    </xdr:to>
    <xdr:sp macro="" textlink="">
      <xdr:nvSpPr>
        <xdr:cNvPr id="26" name="Rectangle 25">
          <a:extLst>
            <a:ext uri="{FF2B5EF4-FFF2-40B4-BE49-F238E27FC236}">
              <a16:creationId xmlns:a16="http://schemas.microsoft.com/office/drawing/2014/main" id="{B37A5CA3-B9DA-5B8D-752C-F6C996013F49}"/>
            </a:ext>
          </a:extLst>
        </xdr:cNvPr>
        <xdr:cNvSpPr/>
      </xdr:nvSpPr>
      <xdr:spPr>
        <a:xfrm>
          <a:off x="2482921" y="3489226"/>
          <a:ext cx="4477821" cy="357507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504342</xdr:colOff>
      <xdr:row>20</xdr:row>
      <xdr:rowOff>1126</xdr:rowOff>
    </xdr:from>
    <xdr:to>
      <xdr:col>11</xdr:col>
      <xdr:colOff>584900</xdr:colOff>
      <xdr:row>38</xdr:row>
      <xdr:rowOff>178393</xdr:rowOff>
    </xdr:to>
    <xdr:graphicFrame macro="">
      <xdr:nvGraphicFramePr>
        <xdr:cNvPr id="25" name="Chart 24">
          <a:extLst>
            <a:ext uri="{FF2B5EF4-FFF2-40B4-BE49-F238E27FC236}">
              <a16:creationId xmlns:a16="http://schemas.microsoft.com/office/drawing/2014/main" id="{A79B3767-9598-4298-8A60-96DC76A32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167015</xdr:colOff>
      <xdr:row>20</xdr:row>
      <xdr:rowOff>55010</xdr:rowOff>
    </xdr:from>
    <xdr:to>
      <xdr:col>8</xdr:col>
      <xdr:colOff>626303</xdr:colOff>
      <xdr:row>38</xdr:row>
      <xdr:rowOff>62630</xdr:rowOff>
    </xdr:to>
    <xdr:graphicFrame macro="">
      <xdr:nvGraphicFramePr>
        <xdr:cNvPr id="24" name="Chart 23">
          <a:extLst>
            <a:ext uri="{FF2B5EF4-FFF2-40B4-BE49-F238E27FC236}">
              <a16:creationId xmlns:a16="http://schemas.microsoft.com/office/drawing/2014/main" id="{B75BB04B-697F-4AC7-9EF8-DD2236F59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627377</xdr:colOff>
      <xdr:row>4</xdr:row>
      <xdr:rowOff>120202</xdr:rowOff>
    </xdr:from>
    <xdr:to>
      <xdr:col>18</xdr:col>
      <xdr:colOff>361361</xdr:colOff>
      <xdr:row>17</xdr:row>
      <xdr:rowOff>54990</xdr:rowOff>
    </xdr:to>
    <xdr:graphicFrame macro="">
      <xdr:nvGraphicFramePr>
        <xdr:cNvPr id="28" name="Chart 27">
          <a:extLst>
            <a:ext uri="{FF2B5EF4-FFF2-40B4-BE49-F238E27FC236}">
              <a16:creationId xmlns:a16="http://schemas.microsoft.com/office/drawing/2014/main" id="{B609A47F-5787-455D-89B2-5CC2BACFD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542043</xdr:colOff>
      <xdr:row>4</xdr:row>
      <xdr:rowOff>118491</xdr:rowOff>
    </xdr:from>
    <xdr:to>
      <xdr:col>23</xdr:col>
      <xdr:colOff>86413</xdr:colOff>
      <xdr:row>17</xdr:row>
      <xdr:rowOff>70701</xdr:rowOff>
    </xdr:to>
    <xdr:graphicFrame macro="">
      <xdr:nvGraphicFramePr>
        <xdr:cNvPr id="30" name="Chart 29">
          <a:extLst>
            <a:ext uri="{FF2B5EF4-FFF2-40B4-BE49-F238E27FC236}">
              <a16:creationId xmlns:a16="http://schemas.microsoft.com/office/drawing/2014/main" id="{E6709934-D4B7-4FEC-B781-88B5FDAC1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gnesh Prajapati" refreshedDate="46282.739830092592" backgroundQuery="1" createdVersion="8" refreshedVersion="8" minRefreshableVersion="3" recordCount="0" supportSubquery="1" supportAdvancedDrill="1" xr:uid="{CB677914-331A-4E80-8A0C-72A6A095D93B}">
  <cacheSource type="external" connectionId="1"/>
  <cacheFields count="5">
    <cacheField name="[Measures].[Call Count]" caption="Call Count" numFmtId="0" hierarchy="17" level="32767"/>
    <cacheField name="[Measures].[Total Amount]" caption="Total Amount" numFmtId="0" hierarchy="18" level="32767"/>
    <cacheField name="[Measures].[Avg. Rating]" caption="Avg. Rating" numFmtId="0" hierarchy="19" level="32767"/>
    <cacheField name="[Measures].[Total Duration]" caption="Total Duration"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Avg. Rating]" caption="Avg. Rating" measure="1" displayFolder="" measureGroup="calls" count="0" oneField="1">
      <fieldsUsage count="1">
        <fieldUsage x="2"/>
      </fieldsUsage>
    </cacheHierarchy>
    <cacheHierarchy uniqueName="[Measures].[Total Duration]" caption="Total Duration"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gnesh Prajapati" refreshedDate="46282.73983136574" backgroundQuery="1" createdVersion="8" refreshedVersion="8" minRefreshableVersion="3" recordCount="0" supportSubquery="1" supportAdvancedDrill="1" xr:uid="{AFB042E2-4664-4E20-96C6-A4CBDFF51849}">
  <cacheSource type="external" connectionId="1"/>
  <cacheFields count="3">
    <cacheField name="[calls].[Representative].[Representative]" caption="Representative" numFmtId="0" hierarchy="3" level="1">
      <sharedItems count="5">
        <s v="R01"/>
        <s v="R02"/>
        <s v="R03"/>
        <s v="R04"/>
        <s v="R05"/>
      </sharedItems>
    </cacheField>
    <cacheField name="[Measures].[Count of Call number]" caption="Count of Call number" numFmtId="0" hierarchy="25" level="32767"/>
    <cacheField name="[Measures].[Sum of Purchase Amount]" caption="Sum of Purchase Amount" numFmtId="0" hierarchy="26"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Avg. Rating]" caption="Avg. Rating"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gnesh Prajapati" refreshedDate="46282.739832638887" backgroundQuery="1" createdVersion="8" refreshedVersion="8" minRefreshableVersion="3" recordCount="0" supportSubquery="1" supportAdvancedDrill="1" xr:uid="{F46CB112-F3D1-43B2-A8EF-C2060EEEC5BE}">
  <cacheSource type="external" connectionId="1"/>
  <cacheFields count="3">
    <cacheField name="[Measures].[Count of Call number]" caption="Count of Call number" numFmtId="0" hierarchy="25" level="32767"/>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Avg. Rating]" caption="Avg. Rating"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gnesh Prajapati" refreshedDate="46283.681024421297" backgroundQuery="1" createdVersion="8" refreshedVersion="8" minRefreshableVersion="3" recordCount="0" supportSubquery="1" supportAdvancedDrill="1" xr:uid="{F2CF4AFB-A99D-47C1-80E9-63A5C94BE8B7}">
  <cacheSource type="external" connectionId="1"/>
  <cacheFields count="4">
    <cacheField name="[calls].[Representative].[Representative]" caption="Representative" numFmtId="0" hierarchy="3" level="1">
      <sharedItems count="5">
        <s v="R01"/>
        <s v="R02"/>
        <s v="R03"/>
        <s v="R04"/>
        <s v="R05"/>
      </sharedItems>
    </cacheField>
    <cacheField name="[Measures].[Total Amount]" caption="Total Amount" numFmtId="0" hierarchy="18" level="32767"/>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1"/>
      </fieldsUsage>
    </cacheHierarchy>
    <cacheHierarchy uniqueName="[Measures].[Avg. Rating]" caption="Avg. Rating"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gnesh Prajapati" refreshedDate="46284.69066990741" backgroundQuery="1" createdVersion="8" refreshedVersion="8" minRefreshableVersion="3" recordCount="0" supportSubquery="1" supportAdvancedDrill="1" xr:uid="{9294D50E-E608-47C4-95D5-ED106C89DFC4}">
  <cacheSource type="external" connectionId="1"/>
  <cacheFields count="6">
    <cacheField name="[Measures].[Call Count]" caption="Call Count" numFmtId="0" hierarchy="17" level="32767"/>
    <cacheField name="[Measures].[Total Amount]" caption="Total Amount" numFmtId="0" hierarchy="18" level="32767"/>
    <cacheField name="[Measures].[Avg. Rating]" caption="Avg. Rating" numFmtId="0" hierarchy="19" level="32767"/>
    <cacheField name="[Measures].[Total Duration]" caption="Total Duration"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Avg. Rating]" caption="Avg. Rating" measure="1" displayFolder="" measureGroup="calls" count="0" oneField="1">
      <fieldsUsage count="1">
        <fieldUsage x="2"/>
      </fieldsUsage>
    </cacheHierarchy>
    <cacheHierarchy uniqueName="[Measures].[Total Duration]" caption="Total Duration"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gnesh Prajapati" refreshedDate="46284.690670254633" backgroundQuery="1" createdVersion="8" refreshedVersion="8" minRefreshableVersion="3" recordCount="0" supportSubquery="1" supportAdvancedDrill="1" xr:uid="{29EDADDF-D0E3-415C-8B1D-CB6F6220FC5A}">
  <cacheSource type="external" connectionId="1"/>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5" level="32767"/>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Avg. Rating]" caption="Avg. Rating"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gnesh Prajapati" refreshedDate="46284.690670601849" backgroundQuery="1" createdVersion="8" refreshedVersion="8" minRefreshableVersion="3" recordCount="0" supportSubquery="1" supportAdvancedDrill="1" xr:uid="{F2A6465D-D9F8-4748-BF44-23A009C11EFA}">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Avg. Rating]" caption="Avg. Rating"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gnesh Prajapati" refreshedDate="46284.690670949072" backgroundQuery="1" createdVersion="8" refreshedVersion="8" minRefreshableVersion="3" recordCount="0" supportSubquery="1" supportAdvancedDrill="1" xr:uid="{D8FD7A7B-C405-4C40-83E8-98E0B4EB7117}">
  <cacheSource type="external" connectionId="1"/>
  <cacheFields count="1">
    <cacheField name="[calls].[Representative].[Representative]" caption="Representative" numFmtId="0" hierarchy="3" level="1">
      <sharedItems count="1">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Avg. Rating]" caption="Avg. Rating"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gnesh Prajapati" refreshedDate="46284.690671412034" backgroundQuery="1" createdVersion="8" refreshedVersion="8" minRefreshableVersion="3" recordCount="0" supportSubquery="1" supportAdvancedDrill="1" xr:uid="{C6177162-0EDF-490D-B9EB-FC6DE3007B97}">
  <cacheSource type="external" connectionId="1"/>
  <cacheFields count="3">
    <cacheField name="[Measures].[Count of Call number]" caption="Count of Call number" numFmtId="0" hierarchy="25"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Avg. Rating]" caption="Avg. Rating"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gnesh Prajapati" refreshedDate="46282.739833680556" backgroundQuery="1" createdVersion="3" refreshedVersion="8" minRefreshableVersion="3" recordCount="0" supportSubquery="1" supportAdvancedDrill="1" xr:uid="{DE6F428C-BDED-43B9-BF26-20831444A554}">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Avg. Rating]" caption="Avg. Rating" measure="1" displayFolder="" measureGroup="calls" count="0"/>
    <cacheHierarchy uniqueName="[Measures].[Total Duration]" caption="Total Duration"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8209627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2713FB-9F9D-48A0-B9A4-E98FCD73617A}" name="PivotTable1" cacheId="8"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31">
  <location ref="A38:G57" firstHeaderRow="1" firstDataRow="2" firstDataCol="1"/>
  <pivotFields count="4">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2"/>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1"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E4DC3D-3707-41A0-8F88-AE20CB25EC50}" name="weekly trend"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13:F21"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D97A66-1868-48FE-A4AD-F6D4434DF4BE}" name="Rating" cacheId="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H30:I35"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Call number" fld="0" subtotal="count" baseField="0" baseItem="0"/>
  </dataFields>
  <chartFormats count="2">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BF0BD0-8613-4EED-9C04-1512CD680335}"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3" subtotal="count" baseField="0" baseItem="0"/>
    <dataField fld="2"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939FB4-3A36-4077-A02A-90003B50A0DD}" name="monthly trend"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3:C26"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Call number" fld="2" subtotal="count" baseField="0" baseItem="0"/>
    <dataField fld="3" subtotal="count" baseField="0" baseItem="0"/>
  </dataFields>
  <chartFormats count="2">
    <chartFormat chart="18" format="4"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A4BB72-AE0C-4198-B404-2BE07F357F85}" name="selected reps" cacheId="6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0:A31" firstHeaderRow="1" firstDataRow="1" firstDataCol="1"/>
  <pivotFields count="1">
    <pivotField axis="axisRow" allDrilled="1" subtotalTop="0" showAll="0" defaultSubtotal="0" defaultAttributeDrillState="1">
      <items count="1">
        <item s="1" x="0"/>
      </items>
    </pivotField>
  </pivotFields>
  <rowFields count="1">
    <field x="0"/>
  </rowFields>
  <rowItems count="1">
    <i>
      <x/>
    </i>
  </rowItems>
  <formats count="1">
    <format dxfId="20">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E51C87-1909-46D1-AD65-98DF080335B4}" name="rep pivot"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3" subtotal="count" baseField="0" baseItem="0"/>
    <dataField fld="2"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B1D0CA-2C53-4C4E-B9AF-BF8AABB25040}" name="Gender Caller"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C30:F35"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3">
    <i>
      <x/>
    </i>
    <i>
      <x v="1"/>
    </i>
    <i t="grand">
      <x/>
    </i>
  </colItems>
  <dataFields count="1">
    <dataField name="Count of Call number" fld="0" subtotal="count" baseField="0" baseItem="0"/>
  </dataFields>
  <chartFormats count="2">
    <chartFormat chart="21" format="4" series="1">
      <pivotArea type="data" outline="0" fieldPosition="0">
        <references count="2">
          <reference field="4294967294" count="1" selected="0">
            <x v="0"/>
          </reference>
          <reference field="1" count="1" selected="0">
            <x v="0"/>
          </reference>
        </references>
      </pivotArea>
    </chartFormat>
    <chartFormat chart="21"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59C80F-5935-4750-A070-600DC78E2815}"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J1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Call number" fld="1" subtotal="count" baseField="0" baseItem="0"/>
    <dataField name="Sum of Purchase Amount" fld="2"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Business woman shrugging</v>
  </rv>
  <rv s="0">
    <v>1</v>
    <v>5</v>
    <v>A person in a skirt and a cardigan
Description automatically generated</v>
  </rv>
  <rv s="0">
    <v>2</v>
    <v>5</v>
    <v>A person in a suit and tie
Description automatically generated</v>
  </rv>
  <rv s="0">
    <v>3</v>
    <v>5</v>
    <v>Business woman raising hand</v>
  </rv>
  <rv s="0">
    <v>4</v>
    <v>5</v>
    <v>Young businessman writing on notebook</v>
  </rv>
  <rv s="0">
    <v>0</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E121A18-3DAB-41BA-BF80-DC8BEE828062}" sourceName="[calls].[Representative]">
  <pivotTables>
    <pivotTable tabId="5" name="rep pivot"/>
    <pivotTable tabId="5" name="monthly trend"/>
    <pivotTable tabId="5" name="weekly trend"/>
    <pivotTable tabId="5" name="selected reps"/>
    <pivotTable tabId="5" name="Rating"/>
  </pivotTables>
  <data>
    <olap pivotCacheId="182096270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B4CA1044-4E02-4C10-A3AD-C1D2075DB3FA}" cache="Slicer_Representative" caption="Representative" level="1" style="SlicerStyleDark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9"/>
    <tableColumn id="5" xr3:uid="{5A35565E-8707-4DED-AD15-A0669D67B382}" name="Date of Call" dataDxfId="18"/>
    <tableColumn id="6" xr3:uid="{F2E4F158-B41F-47BC-8DF8-DFCADFEE4E40}" name="Purchase Amount"/>
    <tableColumn id="7" xr3:uid="{04B291B5-47BD-4F78-8FD8-D1551CCA6BD9}" name="Satisfaction Rating"/>
    <tableColumn id="8" xr3:uid="{6E4123C0-0B17-43B8-A142-A1E540CE974C}" name="FY" dataDxfId="17">
      <calculatedColumnFormula>IF(MONTH(calls[[#This Row],[Date of Call]])&lt;=6, YEAR(calls[[#This Row],[Date of Call]]), YEAR(calls[[#This Row],[Date of Call]])+1)</calculatedColumnFormula>
    </tableColumn>
    <tableColumn id="9" xr3:uid="{199FA271-5E9B-46CE-9BC6-2801F92CD17E}" name="Day of week" dataDxfId="16">
      <calculatedColumnFormula>TEXT(calls[[#This Row],[Date of Call]],"DDDD")</calculatedColumnFormula>
    </tableColumn>
    <tableColumn id="10" xr3:uid="{328CDB09-95B8-4D5E-9ED9-EF0D363735A1}" name="Duration Bucket" dataDxfId="15">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4">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3" headerRowBorderDxfId="12" tableBorderDxfId="11" totalsRowBorderDxfId="10">
  <autoFilter ref="Q3:T18" xr:uid="{27158F51-A707-4171-8A04-81FB0AABCBA5}"/>
  <tableColumns count="4">
    <tableColumn id="1" xr3:uid="{02688061-6A8C-4E23-B7FF-D00CD8B58CAC}" name="Customer ID" dataDxfId="9"/>
    <tableColumn id="2" xr3:uid="{771678B6-DB44-426B-9874-B4E421A440D5}" name="Gedner" dataDxfId="8"/>
    <tableColumn id="3" xr3:uid="{B0D41C62-587E-494D-B49A-603F2C05F8D3}" name="Age" dataDxfId="7"/>
    <tableColumn id="4" xr3:uid="{663F92D6-FE31-4D81-9E01-8D066DDC8A88}" name="City" dataDxfId="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DC7A1-1C46-4071-A98F-4FB0C7E47979}">
  <dimension ref="A3:L57"/>
  <sheetViews>
    <sheetView topLeftCell="A22" zoomScale="124" workbookViewId="0">
      <selection activeCell="J56" sqref="J56"/>
    </sheetView>
  </sheetViews>
  <sheetFormatPr defaultRowHeight="14.4" x14ac:dyDescent="0.3"/>
  <cols>
    <col min="1" max="1" width="12.19921875" bestFit="1" customWidth="1"/>
    <col min="2" max="2" width="18.796875" bestFit="1" customWidth="1"/>
    <col min="3" max="3" width="9.69921875" bestFit="1" customWidth="1"/>
    <col min="4" max="4" width="10.09765625" bestFit="1" customWidth="1"/>
    <col min="5" max="5" width="12.19921875" bestFit="1" customWidth="1"/>
    <col min="6" max="6" width="9.69921875" bestFit="1" customWidth="1"/>
    <col min="7" max="7" width="10.3984375" bestFit="1" customWidth="1"/>
    <col min="8" max="8" width="12.19921875" bestFit="1" customWidth="1"/>
    <col min="9" max="9" width="18.796875" bestFit="1" customWidth="1"/>
    <col min="10" max="10" width="21.69921875" bestFit="1" customWidth="1"/>
    <col min="11" max="11" width="11.59765625" customWidth="1"/>
    <col min="12" max="12" width="11.3984375" customWidth="1"/>
  </cols>
  <sheetData>
    <row r="3" spans="1:10" x14ac:dyDescent="0.3">
      <c r="A3" t="s">
        <v>1042</v>
      </c>
      <c r="B3" t="s">
        <v>1043</v>
      </c>
      <c r="C3" t="s">
        <v>1045</v>
      </c>
      <c r="D3" t="s">
        <v>1044</v>
      </c>
      <c r="E3" t="s">
        <v>1046</v>
      </c>
    </row>
    <row r="4" spans="1:10" x14ac:dyDescent="0.3">
      <c r="A4" s="21">
        <v>1000</v>
      </c>
      <c r="B4" s="22">
        <v>96623</v>
      </c>
      <c r="C4" s="21">
        <v>89850</v>
      </c>
      <c r="D4" s="23">
        <v>3.8854000000000033</v>
      </c>
      <c r="E4" s="21">
        <v>307</v>
      </c>
    </row>
    <row r="8" spans="1:10" x14ac:dyDescent="0.3">
      <c r="A8" t="s">
        <v>1042</v>
      </c>
      <c r="B8" t="s">
        <v>1043</v>
      </c>
      <c r="C8" t="s">
        <v>1045</v>
      </c>
      <c r="D8" t="s">
        <v>1044</v>
      </c>
      <c r="E8" t="s">
        <v>1046</v>
      </c>
    </row>
    <row r="9" spans="1:10" x14ac:dyDescent="0.3">
      <c r="A9" s="21">
        <v>200</v>
      </c>
      <c r="B9" s="22">
        <v>20104</v>
      </c>
      <c r="C9" s="21">
        <v>18209</v>
      </c>
      <c r="D9" s="23">
        <v>3.8824999999999998</v>
      </c>
      <c r="E9" s="21">
        <v>51</v>
      </c>
    </row>
    <row r="13" spans="1:10" x14ac:dyDescent="0.3">
      <c r="A13" s="24" t="s">
        <v>1047</v>
      </c>
      <c r="B13" t="s">
        <v>1061</v>
      </c>
      <c r="C13" t="s">
        <v>1042</v>
      </c>
      <c r="E13" s="24" t="s">
        <v>1047</v>
      </c>
      <c r="F13" t="s">
        <v>1042</v>
      </c>
      <c r="H13" s="24" t="s">
        <v>1047</v>
      </c>
      <c r="I13" t="s">
        <v>1061</v>
      </c>
      <c r="J13" t="s">
        <v>1069</v>
      </c>
    </row>
    <row r="14" spans="1:10" x14ac:dyDescent="0.3">
      <c r="A14" s="25" t="s">
        <v>1049</v>
      </c>
      <c r="B14" s="26">
        <v>21</v>
      </c>
      <c r="C14" s="21">
        <v>21</v>
      </c>
      <c r="E14" s="25" t="s">
        <v>1065</v>
      </c>
      <c r="F14" s="21">
        <v>27</v>
      </c>
      <c r="H14" s="25" t="s">
        <v>11</v>
      </c>
      <c r="I14" s="26">
        <v>189</v>
      </c>
      <c r="J14" s="26">
        <v>18415</v>
      </c>
    </row>
    <row r="15" spans="1:10" x14ac:dyDescent="0.3">
      <c r="A15" s="25" t="s">
        <v>1050</v>
      </c>
      <c r="B15" s="26">
        <v>18</v>
      </c>
      <c r="C15" s="21">
        <v>18</v>
      </c>
      <c r="E15" s="25" t="s">
        <v>1063</v>
      </c>
      <c r="F15" s="21">
        <v>22</v>
      </c>
      <c r="H15" s="25" t="s">
        <v>9</v>
      </c>
      <c r="I15" s="26">
        <v>218</v>
      </c>
      <c r="J15" s="26">
        <v>20581</v>
      </c>
    </row>
    <row r="16" spans="1:10" x14ac:dyDescent="0.3">
      <c r="A16" s="25" t="s">
        <v>1051</v>
      </c>
      <c r="B16" s="26">
        <v>31</v>
      </c>
      <c r="C16" s="21">
        <v>31</v>
      </c>
      <c r="E16" s="25" t="s">
        <v>1067</v>
      </c>
      <c r="F16" s="21">
        <v>27</v>
      </c>
      <c r="H16" s="25" t="s">
        <v>6</v>
      </c>
      <c r="I16" s="26">
        <v>207</v>
      </c>
      <c r="J16" s="26">
        <v>20872</v>
      </c>
    </row>
    <row r="17" spans="1:12" x14ac:dyDescent="0.3">
      <c r="A17" s="25" t="s">
        <v>1052</v>
      </c>
      <c r="B17" s="26">
        <v>20</v>
      </c>
      <c r="C17" s="21">
        <v>20</v>
      </c>
      <c r="E17" s="25" t="s">
        <v>1068</v>
      </c>
      <c r="F17" s="21">
        <v>27</v>
      </c>
      <c r="H17" s="25" t="s">
        <v>13</v>
      </c>
      <c r="I17" s="26">
        <v>186</v>
      </c>
      <c r="J17" s="26">
        <v>16651</v>
      </c>
    </row>
    <row r="18" spans="1:12" x14ac:dyDescent="0.3">
      <c r="A18" s="25" t="s">
        <v>1053</v>
      </c>
      <c r="B18" s="26">
        <v>8</v>
      </c>
      <c r="C18" s="21">
        <v>8</v>
      </c>
      <c r="E18" s="25" t="s">
        <v>1066</v>
      </c>
      <c r="F18" s="21">
        <v>27</v>
      </c>
      <c r="H18" s="25" t="s">
        <v>10</v>
      </c>
      <c r="I18" s="26">
        <v>200</v>
      </c>
      <c r="J18" s="26">
        <v>20104</v>
      </c>
    </row>
    <row r="19" spans="1:12" x14ac:dyDescent="0.3">
      <c r="A19" s="25" t="s">
        <v>1054</v>
      </c>
      <c r="B19" s="26">
        <v>12</v>
      </c>
      <c r="C19" s="21">
        <v>12</v>
      </c>
      <c r="E19" s="25" t="s">
        <v>1062</v>
      </c>
      <c r="F19" s="21">
        <v>32</v>
      </c>
      <c r="H19" s="25" t="s">
        <v>1048</v>
      </c>
      <c r="I19" s="26">
        <v>1000</v>
      </c>
      <c r="J19" s="26">
        <v>96623</v>
      </c>
    </row>
    <row r="20" spans="1:12" x14ac:dyDescent="0.3">
      <c r="A20" s="25" t="s">
        <v>1055</v>
      </c>
      <c r="B20" s="26">
        <v>12</v>
      </c>
      <c r="C20" s="21">
        <v>12</v>
      </c>
      <c r="E20" s="25" t="s">
        <v>1064</v>
      </c>
      <c r="F20" s="21">
        <v>38</v>
      </c>
      <c r="K20" t="s">
        <v>1075</v>
      </c>
      <c r="L20" t="str">
        <f>A31</f>
        <v>R05</v>
      </c>
    </row>
    <row r="21" spans="1:12" x14ac:dyDescent="0.3">
      <c r="A21" s="25" t="s">
        <v>1056</v>
      </c>
      <c r="B21" s="26">
        <v>7</v>
      </c>
      <c r="C21" s="21">
        <v>7</v>
      </c>
      <c r="E21" s="25" t="s">
        <v>1048</v>
      </c>
      <c r="F21" s="21">
        <v>200</v>
      </c>
      <c r="H21" s="25" t="s">
        <v>1070</v>
      </c>
      <c r="I21" t="s">
        <v>1071</v>
      </c>
      <c r="J21" t="s">
        <v>1072</v>
      </c>
      <c r="K21" t="s">
        <v>1073</v>
      </c>
      <c r="L21" t="s">
        <v>1074</v>
      </c>
    </row>
    <row r="22" spans="1:12" x14ac:dyDescent="0.3">
      <c r="A22" s="25" t="s">
        <v>1057</v>
      </c>
      <c r="B22" s="26">
        <v>20</v>
      </c>
      <c r="C22" s="21">
        <v>20</v>
      </c>
      <c r="H22" t="str">
        <f>H14</f>
        <v>R01</v>
      </c>
      <c r="I22">
        <f t="shared" ref="I22:J22" si="0">I14</f>
        <v>189</v>
      </c>
      <c r="J22" s="27">
        <f t="shared" si="0"/>
        <v>18415</v>
      </c>
      <c r="K22" t="e">
        <f>IF(H22=$L$20,I22,NA())</f>
        <v>#N/A</v>
      </c>
      <c r="L22" t="e">
        <f>IF(H22=$L$20,J22,NA())</f>
        <v>#N/A</v>
      </c>
    </row>
    <row r="23" spans="1:12" x14ac:dyDescent="0.3">
      <c r="A23" s="25" t="s">
        <v>1058</v>
      </c>
      <c r="B23" s="26">
        <v>24</v>
      </c>
      <c r="C23" s="21">
        <v>24</v>
      </c>
      <c r="H23" t="str">
        <f t="shared" ref="H23:J26" si="1">H15</f>
        <v>R02</v>
      </c>
      <c r="I23">
        <f t="shared" si="1"/>
        <v>218</v>
      </c>
      <c r="J23" s="27">
        <f t="shared" si="1"/>
        <v>20581</v>
      </c>
      <c r="K23" t="e">
        <f t="shared" ref="K23:K26" si="2">IF(H23=$L$20,I23,NA())</f>
        <v>#N/A</v>
      </c>
      <c r="L23" t="e">
        <f t="shared" ref="L23:L26" si="3">IF(H23=$L$20,J23,NA())</f>
        <v>#N/A</v>
      </c>
    </row>
    <row r="24" spans="1:12" x14ac:dyDescent="0.3">
      <c r="A24" s="25" t="s">
        <v>1059</v>
      </c>
      <c r="B24" s="26">
        <v>12</v>
      </c>
      <c r="C24" s="21">
        <v>12</v>
      </c>
      <c r="H24" t="str">
        <f t="shared" si="1"/>
        <v>R03</v>
      </c>
      <c r="I24">
        <f t="shared" si="1"/>
        <v>207</v>
      </c>
      <c r="J24" s="27">
        <f t="shared" si="1"/>
        <v>20872</v>
      </c>
      <c r="K24" t="e">
        <f t="shared" si="2"/>
        <v>#N/A</v>
      </c>
      <c r="L24" t="e">
        <f t="shared" si="3"/>
        <v>#N/A</v>
      </c>
    </row>
    <row r="25" spans="1:12" x14ac:dyDescent="0.3">
      <c r="A25" s="25" t="s">
        <v>1060</v>
      </c>
      <c r="B25" s="26">
        <v>15</v>
      </c>
      <c r="C25" s="21">
        <v>15</v>
      </c>
      <c r="H25" t="str">
        <f t="shared" si="1"/>
        <v>R04</v>
      </c>
      <c r="I25">
        <f t="shared" si="1"/>
        <v>186</v>
      </c>
      <c r="J25" s="27">
        <f t="shared" si="1"/>
        <v>16651</v>
      </c>
      <c r="K25" t="e">
        <f t="shared" si="2"/>
        <v>#N/A</v>
      </c>
      <c r="L25" t="e">
        <f t="shared" si="3"/>
        <v>#N/A</v>
      </c>
    </row>
    <row r="26" spans="1:12" x14ac:dyDescent="0.3">
      <c r="A26" s="25" t="s">
        <v>1048</v>
      </c>
      <c r="B26" s="26">
        <v>200</v>
      </c>
      <c r="C26" s="21">
        <v>200</v>
      </c>
      <c r="H26" t="str">
        <f t="shared" si="1"/>
        <v>R05</v>
      </c>
      <c r="I26">
        <f t="shared" si="1"/>
        <v>200</v>
      </c>
      <c r="J26" s="27">
        <f t="shared" si="1"/>
        <v>20104</v>
      </c>
      <c r="K26">
        <f t="shared" si="2"/>
        <v>200</v>
      </c>
      <c r="L26">
        <f t="shared" si="3"/>
        <v>20104</v>
      </c>
    </row>
    <row r="30" spans="1:12" x14ac:dyDescent="0.3">
      <c r="A30" s="24" t="s">
        <v>1047</v>
      </c>
      <c r="C30" s="24" t="s">
        <v>1061</v>
      </c>
      <c r="D30" s="24" t="s">
        <v>1076</v>
      </c>
      <c r="H30" s="24" t="s">
        <v>1047</v>
      </c>
      <c r="I30" t="s">
        <v>1061</v>
      </c>
    </row>
    <row r="31" spans="1:12" x14ac:dyDescent="0.3">
      <c r="A31" s="28" t="s">
        <v>10</v>
      </c>
      <c r="C31" s="24" t="s">
        <v>1047</v>
      </c>
      <c r="D31" t="s">
        <v>999</v>
      </c>
      <c r="E31" t="s">
        <v>998</v>
      </c>
      <c r="F31" t="s">
        <v>1048</v>
      </c>
      <c r="H31" s="25">
        <v>2</v>
      </c>
      <c r="I31" s="26">
        <v>10</v>
      </c>
    </row>
    <row r="32" spans="1:12" x14ac:dyDescent="0.3">
      <c r="C32" s="25" t="s">
        <v>1002</v>
      </c>
      <c r="D32" s="26">
        <v>144</v>
      </c>
      <c r="E32" s="26">
        <v>132</v>
      </c>
      <c r="F32" s="26">
        <v>276</v>
      </c>
      <c r="H32" s="25">
        <v>3</v>
      </c>
      <c r="I32" s="26">
        <v>44</v>
      </c>
    </row>
    <row r="33" spans="1:10" x14ac:dyDescent="0.3">
      <c r="C33" s="25" t="s">
        <v>1001</v>
      </c>
      <c r="D33" s="26">
        <v>326</v>
      </c>
      <c r="E33" s="26">
        <v>63</v>
      </c>
      <c r="F33" s="26">
        <v>389</v>
      </c>
      <c r="H33" s="25">
        <v>4</v>
      </c>
      <c r="I33" s="26">
        <v>95</v>
      </c>
    </row>
    <row r="34" spans="1:10" x14ac:dyDescent="0.3">
      <c r="C34" s="25" t="s">
        <v>1000</v>
      </c>
      <c r="D34" s="26">
        <v>129</v>
      </c>
      <c r="E34" s="26">
        <v>206</v>
      </c>
      <c r="F34" s="26">
        <v>335</v>
      </c>
      <c r="H34" s="25">
        <v>5</v>
      </c>
      <c r="I34" s="26">
        <v>51</v>
      </c>
    </row>
    <row r="35" spans="1:10" x14ac:dyDescent="0.3">
      <c r="C35" s="25" t="s">
        <v>1048</v>
      </c>
      <c r="D35" s="26">
        <v>599</v>
      </c>
      <c r="E35" s="26">
        <v>401</v>
      </c>
      <c r="F35" s="26">
        <v>1000</v>
      </c>
      <c r="H35" s="25" t="s">
        <v>1048</v>
      </c>
      <c r="I35" s="26">
        <v>200</v>
      </c>
    </row>
    <row r="38" spans="1:10" x14ac:dyDescent="0.3">
      <c r="A38" s="24" t="s">
        <v>1043</v>
      </c>
      <c r="B38" s="24" t="s">
        <v>1076</v>
      </c>
    </row>
    <row r="39" spans="1:10" x14ac:dyDescent="0.3">
      <c r="A39" s="24" t="s">
        <v>1047</v>
      </c>
      <c r="B39" t="s">
        <v>11</v>
      </c>
      <c r="C39" t="s">
        <v>9</v>
      </c>
      <c r="D39" t="s">
        <v>6</v>
      </c>
      <c r="E39" t="s">
        <v>13</v>
      </c>
      <c r="F39" t="s">
        <v>10</v>
      </c>
      <c r="G39" t="s">
        <v>1048</v>
      </c>
      <c r="I39">
        <f>Assets!H3</f>
        <v>0</v>
      </c>
    </row>
    <row r="40" spans="1:10" x14ac:dyDescent="0.3">
      <c r="A40" s="25" t="s">
        <v>1002</v>
      </c>
      <c r="B40" s="26"/>
      <c r="C40" s="26"/>
      <c r="D40" s="26"/>
      <c r="E40" s="26"/>
      <c r="F40" s="26"/>
      <c r="G40" s="26"/>
    </row>
    <row r="41" spans="1:10" x14ac:dyDescent="0.3">
      <c r="A41" s="29" t="s">
        <v>20</v>
      </c>
      <c r="B41" s="22">
        <v>891</v>
      </c>
      <c r="C41" s="22">
        <v>1332</v>
      </c>
      <c r="D41" s="22">
        <v>1282</v>
      </c>
      <c r="E41" s="22">
        <v>739</v>
      </c>
      <c r="F41" s="22">
        <v>560</v>
      </c>
      <c r="G41" s="22">
        <v>4804</v>
      </c>
    </row>
    <row r="42" spans="1:10" x14ac:dyDescent="0.3">
      <c r="A42" s="29" t="s">
        <v>12</v>
      </c>
      <c r="B42" s="22">
        <v>1991</v>
      </c>
      <c r="C42" s="22">
        <v>1886</v>
      </c>
      <c r="D42" s="22">
        <v>1206</v>
      </c>
      <c r="E42" s="22">
        <v>884</v>
      </c>
      <c r="F42" s="22">
        <v>1722</v>
      </c>
      <c r="G42" s="22">
        <v>7689</v>
      </c>
      <c r="I42" t="s">
        <v>1078</v>
      </c>
    </row>
    <row r="43" spans="1:10" x14ac:dyDescent="0.3">
      <c r="A43" s="29" t="s">
        <v>8</v>
      </c>
      <c r="B43" s="22">
        <v>1163</v>
      </c>
      <c r="C43" s="22">
        <v>1180</v>
      </c>
      <c r="D43" s="22">
        <v>1616</v>
      </c>
      <c r="E43" s="22">
        <v>1043</v>
      </c>
      <c r="F43" s="22">
        <v>1747</v>
      </c>
      <c r="G43" s="22">
        <v>6749</v>
      </c>
    </row>
    <row r="44" spans="1:10" x14ac:dyDescent="0.3">
      <c r="A44" s="29" t="s">
        <v>16</v>
      </c>
      <c r="B44" s="22">
        <v>1438</v>
      </c>
      <c r="C44" s="22">
        <v>1616</v>
      </c>
      <c r="D44" s="22">
        <v>866</v>
      </c>
      <c r="E44" s="22">
        <v>829</v>
      </c>
      <c r="F44" s="22">
        <v>2070</v>
      </c>
      <c r="G44" s="22">
        <v>6819</v>
      </c>
      <c r="I44" t="s">
        <v>1079</v>
      </c>
      <c r="J44" s="31">
        <f>A9/A4</f>
        <v>0.2</v>
      </c>
    </row>
    <row r="45" spans="1:10" x14ac:dyDescent="0.3">
      <c r="A45" s="25" t="s">
        <v>1001</v>
      </c>
      <c r="B45" s="26"/>
      <c r="C45" s="26"/>
      <c r="D45" s="26"/>
      <c r="E45" s="26"/>
      <c r="F45" s="26"/>
      <c r="G45" s="26"/>
    </row>
    <row r="46" spans="1:10" x14ac:dyDescent="0.3">
      <c r="A46" s="29" t="s">
        <v>24</v>
      </c>
      <c r="B46" s="22">
        <v>1233</v>
      </c>
      <c r="C46" s="22">
        <v>223</v>
      </c>
      <c r="D46" s="22">
        <v>1680</v>
      </c>
      <c r="E46" s="22">
        <v>990</v>
      </c>
      <c r="F46" s="22">
        <v>1508</v>
      </c>
      <c r="G46" s="22">
        <v>5634</v>
      </c>
      <c r="I46" t="s">
        <v>1082</v>
      </c>
      <c r="J46">
        <f>_xlfn.XLOOKUP(A31,H22:H26,I22:I26)</f>
        <v>200</v>
      </c>
    </row>
    <row r="47" spans="1:10" x14ac:dyDescent="0.3">
      <c r="A47" s="29" t="s">
        <v>15</v>
      </c>
      <c r="B47" s="22">
        <v>1598</v>
      </c>
      <c r="C47" s="22">
        <v>1907</v>
      </c>
      <c r="D47" s="22">
        <v>869</v>
      </c>
      <c r="E47" s="22">
        <v>1426</v>
      </c>
      <c r="F47" s="22">
        <v>1416</v>
      </c>
      <c r="G47" s="22">
        <v>7216</v>
      </c>
      <c r="I47" t="s">
        <v>1072</v>
      </c>
      <c r="J47">
        <f>_xlfn.XLOOKUP(A31,H22:H26,J22:J26)</f>
        <v>20104</v>
      </c>
    </row>
    <row r="48" spans="1:10" x14ac:dyDescent="0.3">
      <c r="A48" s="29" t="s">
        <v>5</v>
      </c>
      <c r="B48" s="22">
        <v>900</v>
      </c>
      <c r="C48" s="22">
        <v>1016</v>
      </c>
      <c r="D48" s="22">
        <v>960</v>
      </c>
      <c r="E48" s="22">
        <v>940</v>
      </c>
      <c r="F48" s="22">
        <v>1193</v>
      </c>
      <c r="G48" s="22">
        <v>5009</v>
      </c>
    </row>
    <row r="49" spans="1:10" x14ac:dyDescent="0.3">
      <c r="A49" s="29" t="s">
        <v>18</v>
      </c>
      <c r="B49" s="22">
        <v>900</v>
      </c>
      <c r="C49" s="22">
        <v>1470</v>
      </c>
      <c r="D49" s="22">
        <v>1617</v>
      </c>
      <c r="E49" s="22">
        <v>1314</v>
      </c>
      <c r="F49" s="22">
        <v>941</v>
      </c>
      <c r="G49" s="22">
        <v>6242</v>
      </c>
      <c r="I49" t="s">
        <v>1080</v>
      </c>
      <c r="J49">
        <f>_xlfn.RANK.AVG(J46,I22:I26)</f>
        <v>3</v>
      </c>
    </row>
    <row r="50" spans="1:10" x14ac:dyDescent="0.3">
      <c r="A50" s="29" t="s">
        <v>14</v>
      </c>
      <c r="B50" s="22">
        <v>1255</v>
      </c>
      <c r="C50" s="22">
        <v>516</v>
      </c>
      <c r="D50" s="22">
        <v>1874</v>
      </c>
      <c r="E50" s="22">
        <v>1863</v>
      </c>
      <c r="F50" s="22">
        <v>1722</v>
      </c>
      <c r="G50" s="22">
        <v>7230</v>
      </c>
      <c r="I50" t="s">
        <v>1081</v>
      </c>
      <c r="J50">
        <f>_xlfn.RANK.AVG(J47,J22:J26)</f>
        <v>3</v>
      </c>
    </row>
    <row r="51" spans="1:10" x14ac:dyDescent="0.3">
      <c r="A51" s="29" t="s">
        <v>19</v>
      </c>
      <c r="B51" s="22">
        <v>1138</v>
      </c>
      <c r="C51" s="22">
        <v>1898</v>
      </c>
      <c r="D51" s="22">
        <v>1482</v>
      </c>
      <c r="E51" s="22">
        <v>846</v>
      </c>
      <c r="F51" s="22">
        <v>1154</v>
      </c>
      <c r="G51" s="22">
        <v>6518</v>
      </c>
    </row>
    <row r="52" spans="1:10" x14ac:dyDescent="0.3">
      <c r="A52" s="25" t="s">
        <v>1000</v>
      </c>
      <c r="B52" s="26"/>
      <c r="C52" s="26"/>
      <c r="D52" s="26"/>
      <c r="E52" s="26"/>
      <c r="F52" s="26"/>
      <c r="G52" s="26"/>
      <c r="I52" t="s">
        <v>1083</v>
      </c>
      <c r="J52" t="str">
        <f>"% of Calls :"&amp;J44</f>
        <v>% of Calls :0.2</v>
      </c>
    </row>
    <row r="53" spans="1:10" x14ac:dyDescent="0.3">
      <c r="A53" s="29" t="s">
        <v>17</v>
      </c>
      <c r="B53" s="22">
        <v>1655</v>
      </c>
      <c r="C53" s="22">
        <v>805</v>
      </c>
      <c r="D53" s="22">
        <v>2263</v>
      </c>
      <c r="E53" s="22">
        <v>987</v>
      </c>
      <c r="F53" s="22">
        <v>1075</v>
      </c>
      <c r="G53" s="22">
        <v>6785</v>
      </c>
      <c r="J53" t="str">
        <f>IF(COUNTA(A31:A35)&gt;1,"","Call Rank :"&amp;J49)</f>
        <v>Call Rank :3</v>
      </c>
    </row>
    <row r="54" spans="1:10" x14ac:dyDescent="0.3">
      <c r="A54" s="29" t="s">
        <v>23</v>
      </c>
      <c r="B54" s="22">
        <v>1104</v>
      </c>
      <c r="C54" s="22">
        <v>2280</v>
      </c>
      <c r="D54" s="22">
        <v>1445</v>
      </c>
      <c r="E54" s="22">
        <v>1722</v>
      </c>
      <c r="F54" s="22">
        <v>1196</v>
      </c>
      <c r="G54" s="22">
        <v>7747</v>
      </c>
      <c r="J54" t="str">
        <f>IF(COUNTA(A31:A35)&gt;1,"","Amount Rank :"&amp;J50)</f>
        <v>Amount Rank :3</v>
      </c>
    </row>
    <row r="55" spans="1:10" x14ac:dyDescent="0.3">
      <c r="A55" s="29" t="s">
        <v>7</v>
      </c>
      <c r="B55" s="22">
        <v>372</v>
      </c>
      <c r="C55" s="22">
        <v>1818</v>
      </c>
      <c r="D55" s="22">
        <v>1346</v>
      </c>
      <c r="E55" s="22">
        <v>1156</v>
      </c>
      <c r="F55" s="22">
        <v>1484</v>
      </c>
      <c r="G55" s="22">
        <v>6176</v>
      </c>
    </row>
    <row r="56" spans="1:10" x14ac:dyDescent="0.3">
      <c r="A56" s="29" t="s">
        <v>22</v>
      </c>
      <c r="B56" s="22">
        <v>1415</v>
      </c>
      <c r="C56" s="22">
        <v>1271</v>
      </c>
      <c r="D56" s="22">
        <v>1214</v>
      </c>
      <c r="E56" s="22">
        <v>1135</v>
      </c>
      <c r="F56" s="22">
        <v>1566</v>
      </c>
      <c r="G56" s="22">
        <v>6601</v>
      </c>
      <c r="I56" t="s">
        <v>1084</v>
      </c>
      <c r="J56" t="e" vm="1">
        <f>IF(COUNTA(A31:A35)&gt;1,"",_xlfn.XLOOKUP(A31,Assets!$E$3:$E$7,Assets!$F$3:$F$7))</f>
        <v>#VALUE!</v>
      </c>
    </row>
    <row r="57" spans="1:10" x14ac:dyDescent="0.3">
      <c r="A57" s="29" t="s">
        <v>21</v>
      </c>
      <c r="B57" s="22">
        <v>1362</v>
      </c>
      <c r="C57" s="22">
        <v>1363</v>
      </c>
      <c r="D57" s="22">
        <v>1152</v>
      </c>
      <c r="E57" s="22">
        <v>777</v>
      </c>
      <c r="F57" s="22">
        <v>750</v>
      </c>
      <c r="G57" s="22">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2" zoomScale="80" zoomScaleNormal="115" workbookViewId="0">
      <selection activeCell="B31" sqref="B31"/>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A3180-880C-4D04-B018-2E0AFC9EAF2C}">
  <dimension ref="A2:Z39"/>
  <sheetViews>
    <sheetView tabSelected="1" zoomScale="84" zoomScaleNormal="85" workbookViewId="0">
      <selection activeCell="I2" sqref="I2"/>
    </sheetView>
  </sheetViews>
  <sheetFormatPr defaultRowHeight="14.4" x14ac:dyDescent="0.3"/>
  <cols>
    <col min="1" max="2" width="3.19921875" style="20" customWidth="1"/>
    <col min="3" max="16" width="8.796875" style="20"/>
    <col min="17" max="22" width="9.09765625" style="20" bestFit="1" customWidth="1"/>
    <col min="23" max="26" width="8.796875" style="20"/>
  </cols>
  <sheetData>
    <row r="2" spans="3:6" x14ac:dyDescent="0.3">
      <c r="C2" s="46" t="s">
        <v>1085</v>
      </c>
      <c r="D2" s="46"/>
      <c r="E2" s="46"/>
      <c r="F2" s="46"/>
    </row>
    <row r="3" spans="3:6" x14ac:dyDescent="0.3">
      <c r="C3" s="46"/>
      <c r="D3" s="46"/>
      <c r="E3" s="46"/>
      <c r="F3" s="46"/>
    </row>
    <row r="18" spans="14:22" x14ac:dyDescent="0.3">
      <c r="N18" s="30"/>
    </row>
    <row r="21" spans="14:22" x14ac:dyDescent="0.3">
      <c r="P21" s="34"/>
      <c r="Q21" s="35" t="str" cm="1">
        <f t="array" ref="Q21:U21">pivot!B39:F39</f>
        <v>R01</v>
      </c>
      <c r="R21" s="35" t="str">
        <v>R02</v>
      </c>
      <c r="S21" s="35" t="str">
        <v>R03</v>
      </c>
      <c r="T21" s="35" t="str">
        <v>R04</v>
      </c>
      <c r="U21" s="35" t="str">
        <v>R05</v>
      </c>
      <c r="V21" s="36" t="s">
        <v>1077</v>
      </c>
    </row>
    <row r="22" spans="14:22" x14ac:dyDescent="0.3">
      <c r="P22" s="37" t="str" cm="1">
        <f t="array" ref="P22:V39">IF(pivot!A40:G57="","",pivot!A40:G57)</f>
        <v>Cincinnati</v>
      </c>
      <c r="Q22" s="38" t="str">
        <v/>
      </c>
      <c r="R22" s="38" t="str">
        <v/>
      </c>
      <c r="S22" s="38" t="str">
        <v/>
      </c>
      <c r="T22" s="38" t="str">
        <v/>
      </c>
      <c r="U22" s="38" t="str">
        <v/>
      </c>
      <c r="V22" s="39" t="str">
        <v/>
      </c>
    </row>
    <row r="23" spans="14:22" x14ac:dyDescent="0.3">
      <c r="P23" s="40" t="str">
        <v>C0003</v>
      </c>
      <c r="Q23" s="41">
        <v>891</v>
      </c>
      <c r="R23" s="41">
        <v>1332</v>
      </c>
      <c r="S23" s="41">
        <v>1282</v>
      </c>
      <c r="T23" s="41">
        <v>739</v>
      </c>
      <c r="U23" s="41">
        <v>560</v>
      </c>
      <c r="V23" s="42">
        <v>4804</v>
      </c>
    </row>
    <row r="24" spans="14:22" x14ac:dyDescent="0.3">
      <c r="P24" s="40" t="str">
        <v>C0004</v>
      </c>
      <c r="Q24" s="38">
        <v>1991</v>
      </c>
      <c r="R24" s="41">
        <v>1886</v>
      </c>
      <c r="S24" s="41">
        <v>1206</v>
      </c>
      <c r="T24" s="41">
        <v>884</v>
      </c>
      <c r="U24" s="41">
        <v>1722</v>
      </c>
      <c r="V24" s="42">
        <v>7689</v>
      </c>
    </row>
    <row r="25" spans="14:22" x14ac:dyDescent="0.3">
      <c r="P25" s="40" t="str">
        <v>C0011</v>
      </c>
      <c r="Q25" s="41">
        <v>1163</v>
      </c>
      <c r="R25" s="41">
        <v>1180</v>
      </c>
      <c r="S25" s="41">
        <v>1616</v>
      </c>
      <c r="T25" s="41">
        <v>1043</v>
      </c>
      <c r="U25" s="41">
        <v>1747</v>
      </c>
      <c r="V25" s="42">
        <v>6749</v>
      </c>
    </row>
    <row r="26" spans="14:22" x14ac:dyDescent="0.3">
      <c r="P26" s="40" t="str">
        <v>C0012</v>
      </c>
      <c r="Q26" s="41">
        <v>1438</v>
      </c>
      <c r="R26" s="41">
        <v>1616</v>
      </c>
      <c r="S26" s="41">
        <v>866</v>
      </c>
      <c r="T26" s="41">
        <v>829</v>
      </c>
      <c r="U26" s="41">
        <v>2070</v>
      </c>
      <c r="V26" s="42">
        <v>6819</v>
      </c>
    </row>
    <row r="27" spans="14:22" x14ac:dyDescent="0.3">
      <c r="P27" s="37" t="str">
        <v>Cleveland</v>
      </c>
      <c r="Q27" s="41" t="str">
        <v/>
      </c>
      <c r="R27" s="41" t="str">
        <v/>
      </c>
      <c r="S27" s="41" t="str">
        <v/>
      </c>
      <c r="T27" s="41" t="str">
        <v/>
      </c>
      <c r="U27" s="41" t="str">
        <v/>
      </c>
      <c r="V27" s="42" t="str">
        <v/>
      </c>
    </row>
    <row r="28" spans="14:22" x14ac:dyDescent="0.3">
      <c r="P28" s="40" t="str">
        <v>C0002</v>
      </c>
      <c r="Q28" s="41">
        <v>1233</v>
      </c>
      <c r="R28" s="41">
        <v>223</v>
      </c>
      <c r="S28" s="41">
        <v>1680</v>
      </c>
      <c r="T28" s="41">
        <v>990</v>
      </c>
      <c r="U28" s="41">
        <v>1508</v>
      </c>
      <c r="V28" s="42">
        <v>5634</v>
      </c>
    </row>
    <row r="29" spans="14:22" x14ac:dyDescent="0.3">
      <c r="P29" s="40" t="str">
        <v>C0007</v>
      </c>
      <c r="Q29" s="41">
        <v>1598</v>
      </c>
      <c r="R29" s="41">
        <v>1907</v>
      </c>
      <c r="S29" s="41">
        <v>869</v>
      </c>
      <c r="T29" s="41">
        <v>1426</v>
      </c>
      <c r="U29" s="41">
        <v>1416</v>
      </c>
      <c r="V29" s="42">
        <v>7216</v>
      </c>
    </row>
    <row r="30" spans="14:22" x14ac:dyDescent="0.3">
      <c r="P30" s="40" t="str">
        <v>C0008</v>
      </c>
      <c r="Q30" s="41">
        <v>900</v>
      </c>
      <c r="R30" s="41">
        <v>1016</v>
      </c>
      <c r="S30" s="41">
        <v>960</v>
      </c>
      <c r="T30" s="41">
        <v>940</v>
      </c>
      <c r="U30" s="41">
        <v>1193</v>
      </c>
      <c r="V30" s="42">
        <v>5009</v>
      </c>
    </row>
    <row r="31" spans="14:22" x14ac:dyDescent="0.3">
      <c r="P31" s="40" t="str">
        <v>C0010</v>
      </c>
      <c r="Q31" s="41">
        <v>900</v>
      </c>
      <c r="R31" s="41">
        <v>1470</v>
      </c>
      <c r="S31" s="41">
        <v>1617</v>
      </c>
      <c r="T31" s="41">
        <v>1314</v>
      </c>
      <c r="U31" s="41">
        <v>941</v>
      </c>
      <c r="V31" s="42">
        <v>6242</v>
      </c>
    </row>
    <row r="32" spans="14:22" x14ac:dyDescent="0.3">
      <c r="P32" s="40" t="str">
        <v>C0013</v>
      </c>
      <c r="Q32" s="41">
        <v>1255</v>
      </c>
      <c r="R32" s="41">
        <v>516</v>
      </c>
      <c r="S32" s="41">
        <v>1874</v>
      </c>
      <c r="T32" s="41">
        <v>1863</v>
      </c>
      <c r="U32" s="41">
        <v>1722</v>
      </c>
      <c r="V32" s="42">
        <v>7230</v>
      </c>
    </row>
    <row r="33" spans="13:22" x14ac:dyDescent="0.3">
      <c r="M33" s="32" t="e" vm="1">
        <f>pivot!J56</f>
        <v>#VALUE!</v>
      </c>
      <c r="N33" s="32"/>
      <c r="P33" s="40" t="str">
        <v>C0015</v>
      </c>
      <c r="Q33" s="41">
        <v>1138</v>
      </c>
      <c r="R33" s="41">
        <v>1898</v>
      </c>
      <c r="S33" s="41">
        <v>1482</v>
      </c>
      <c r="T33" s="41">
        <v>846</v>
      </c>
      <c r="U33" s="41">
        <v>1154</v>
      </c>
      <c r="V33" s="42">
        <v>6518</v>
      </c>
    </row>
    <row r="34" spans="13:22" x14ac:dyDescent="0.3">
      <c r="M34" s="32"/>
      <c r="N34" s="32"/>
      <c r="P34" s="37" t="str">
        <v>Columbus</v>
      </c>
      <c r="Q34" s="41" t="str">
        <v/>
      </c>
      <c r="R34" s="41" t="str">
        <v/>
      </c>
      <c r="S34" s="41" t="str">
        <v/>
      </c>
      <c r="T34" s="41" t="str">
        <v/>
      </c>
      <c r="U34" s="41" t="str">
        <v/>
      </c>
      <c r="V34" s="42" t="str">
        <v/>
      </c>
    </row>
    <row r="35" spans="13:22" x14ac:dyDescent="0.3">
      <c r="M35" s="32"/>
      <c r="N35" s="32"/>
      <c r="P35" s="40" t="str">
        <v>C0001</v>
      </c>
      <c r="Q35" s="41">
        <v>1655</v>
      </c>
      <c r="R35" s="41">
        <v>805</v>
      </c>
      <c r="S35" s="41">
        <v>2263</v>
      </c>
      <c r="T35" s="41">
        <v>987</v>
      </c>
      <c r="U35" s="41">
        <v>1075</v>
      </c>
      <c r="V35" s="42">
        <v>6785</v>
      </c>
    </row>
    <row r="36" spans="13:22" x14ac:dyDescent="0.3">
      <c r="M36" s="32"/>
      <c r="N36" s="32"/>
      <c r="P36" s="40" t="str">
        <v>C0005</v>
      </c>
      <c r="Q36" s="41">
        <v>1104</v>
      </c>
      <c r="R36" s="41">
        <v>2280</v>
      </c>
      <c r="S36" s="41">
        <v>1445</v>
      </c>
      <c r="T36" s="41">
        <v>1722</v>
      </c>
      <c r="U36" s="41">
        <v>1196</v>
      </c>
      <c r="V36" s="42">
        <v>7747</v>
      </c>
    </row>
    <row r="37" spans="13:22" x14ac:dyDescent="0.3">
      <c r="M37" s="33" t="str">
        <f>pivot!J52</f>
        <v>% of Calls :0.2</v>
      </c>
      <c r="N37" s="33"/>
      <c r="P37" s="40" t="str">
        <v>C0006</v>
      </c>
      <c r="Q37" s="41">
        <v>372</v>
      </c>
      <c r="R37" s="41">
        <v>1818</v>
      </c>
      <c r="S37" s="41">
        <v>1346</v>
      </c>
      <c r="T37" s="41">
        <v>1156</v>
      </c>
      <c r="U37" s="41">
        <v>1484</v>
      </c>
      <c r="V37" s="42">
        <v>6176</v>
      </c>
    </row>
    <row r="38" spans="13:22" x14ac:dyDescent="0.3">
      <c r="M38" s="33" t="str">
        <f>pivot!J53</f>
        <v>Call Rank :3</v>
      </c>
      <c r="N38" s="33"/>
      <c r="P38" s="40" t="str">
        <v>C0009</v>
      </c>
      <c r="Q38" s="41">
        <v>1415</v>
      </c>
      <c r="R38" s="41">
        <v>1271</v>
      </c>
      <c r="S38" s="41">
        <v>1214</v>
      </c>
      <c r="T38" s="41">
        <v>1135</v>
      </c>
      <c r="U38" s="41">
        <v>1566</v>
      </c>
      <c r="V38" s="42">
        <v>6601</v>
      </c>
    </row>
    <row r="39" spans="13:22" x14ac:dyDescent="0.3">
      <c r="M39" s="33" t="str">
        <f>pivot!J54</f>
        <v>Amount Rank :3</v>
      </c>
      <c r="N39" s="33"/>
      <c r="P39" s="43" t="str">
        <v>C0014</v>
      </c>
      <c r="Q39" s="44">
        <v>1362</v>
      </c>
      <c r="R39" s="44">
        <v>1363</v>
      </c>
      <c r="S39" s="44">
        <v>1152</v>
      </c>
      <c r="T39" s="44">
        <v>777</v>
      </c>
      <c r="U39" s="44">
        <v>750</v>
      </c>
      <c r="V39" s="45">
        <v>5404</v>
      </c>
    </row>
  </sheetData>
  <mergeCells count="5">
    <mergeCell ref="M33:N36"/>
    <mergeCell ref="M37:N37"/>
    <mergeCell ref="M38:N38"/>
    <mergeCell ref="M39:N39"/>
    <mergeCell ref="C2:F3"/>
  </mergeCells>
  <conditionalFormatting sqref="Q23:U39">
    <cfRule type="dataBar" priority="2">
      <dataBar>
        <cfvo type="num" val="0"/>
        <cfvo type="formula" val="MAX($Q$23:$U$39)*2"/>
        <color theme="1"/>
      </dataBar>
      <extLst>
        <ext xmlns:x14="http://schemas.microsoft.com/office/spreadsheetml/2009/9/main" uri="{B025F937-C7B1-47D3-B67F-A62EFF666E3E}">
          <x14:id>{64C5FE72-60A5-421F-8149-FECD9A972D9C}</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64C5FE72-60A5-421F-8149-FECD9A972D9C}">
            <x14:dataBar minLength="0" maxLength="100" gradient="0">
              <x14:cfvo type="num">
                <xm:f>0</xm:f>
              </x14:cfvo>
              <x14:cfvo type="formula">
                <xm:f>MAX($Q$23:$U$39)*2</xm:f>
              </x14:cfvo>
              <x14:negativeFillColor rgb="FFFF0000"/>
              <x14:axisColor rgb="FF000000"/>
            </x14:dataBar>
          </x14:cfRule>
          <xm:sqref>Q23:U39</xm:sqref>
        </x14:conditionalFormatting>
        <x14:conditionalFormatting xmlns:xm="http://schemas.microsoft.com/office/excel/2006/main">
          <x14:cfRule type="expression" priority="1" id="{9322F6DE-344F-4E96-94B4-6C5BBF639936}">
            <xm:f>Q$21=pivot!$A$31</xm:f>
            <x14:dxf>
              <fill>
                <patternFill>
                  <bgColor theme="5" tint="0.59996337778862885"/>
                </patternFill>
              </fill>
              <border>
                <left style="thin">
                  <color auto="1"/>
                </left>
                <right style="thin">
                  <color auto="1"/>
                </right>
                <vertical/>
                <horizontal/>
              </border>
            </x14:dxf>
          </x14:cfRule>
          <xm:sqref>Q21:U39</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B1" zoomScale="144" zoomScaleNormal="115" workbookViewId="0">
      <selection activeCell="H3" sqref="H3"/>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2">
        <v>#VALUE!</v>
      </c>
    </row>
    <row r="4" spans="5:6" ht="25.5" customHeight="1" x14ac:dyDescent="0.3">
      <c r="E4" t="s">
        <v>9</v>
      </c>
      <c r="F4" t="e" vm="3">
        <v>#VALUE!</v>
      </c>
    </row>
    <row r="5" spans="5:6" ht="25.5" customHeight="1" x14ac:dyDescent="0.3">
      <c r="E5" t="s">
        <v>6</v>
      </c>
      <c r="F5" t="e" vm="4">
        <v>#VALUE!</v>
      </c>
    </row>
    <row r="6" spans="5:6" ht="25.5" customHeight="1" x14ac:dyDescent="0.3">
      <c r="E6" t="s">
        <v>13</v>
      </c>
      <c r="F6" t="e" vm="5">
        <v>#VALUE!</v>
      </c>
    </row>
    <row r="7" spans="5:6" ht="25.5" customHeight="1" x14ac:dyDescent="0.3">
      <c r="E7" t="s">
        <v>10</v>
      </c>
      <c r="F7" t="e" vm="6">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Data</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Jignesh Prajapati</cp:lastModifiedBy>
  <dcterms:created xsi:type="dcterms:W3CDTF">2021-03-14T20:21:32Z</dcterms:created>
  <dcterms:modified xsi:type="dcterms:W3CDTF">2026-09-19T13:39:54Z</dcterms:modified>
</cp:coreProperties>
</file>